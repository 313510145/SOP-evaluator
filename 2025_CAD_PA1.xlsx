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" sheetId="1" r:id="rId4"/>
  </sheets>
  <definedNames/>
  <calcPr/>
</workbook>
</file>

<file path=xl/sharedStrings.xml><?xml version="1.0" encoding="utf-8"?>
<sst xmlns="http://schemas.openxmlformats.org/spreadsheetml/2006/main" count="736" uniqueCount="34">
  <si>
    <t>submission</t>
  </si>
  <si>
    <t>case1_pass</t>
  </si>
  <si>
    <t>case1_lit</t>
  </si>
  <si>
    <t>case1_runtime</t>
  </si>
  <si>
    <t>case1_rank</t>
  </si>
  <si>
    <t>case1_score</t>
  </si>
  <si>
    <t>case2_pass</t>
  </si>
  <si>
    <t>case2_lit</t>
  </si>
  <si>
    <t>case2_runtime</t>
  </si>
  <si>
    <t>case2_rank</t>
  </si>
  <si>
    <t>case2_score</t>
  </si>
  <si>
    <t>case3_pass</t>
  </si>
  <si>
    <t>case3_lit</t>
  </si>
  <si>
    <t>case3_runtime</t>
  </si>
  <si>
    <t>case3_rank</t>
  </si>
  <si>
    <t>case3_score</t>
  </si>
  <si>
    <t>case4_pass</t>
  </si>
  <si>
    <t>case4_lit</t>
  </si>
  <si>
    <t>case4_runtime</t>
  </si>
  <si>
    <t>case4_rank</t>
  </si>
  <si>
    <t>case4_score</t>
  </si>
  <si>
    <t>case5_pass</t>
  </si>
  <si>
    <t>case5_lit</t>
  </si>
  <si>
    <t>case5_runtime</t>
  </si>
  <si>
    <t>case5_rank</t>
  </si>
  <si>
    <t>case5_score</t>
  </si>
  <si>
    <t>total_score</t>
  </si>
  <si>
    <t>naming_error</t>
  </si>
  <si>
    <t>final_score</t>
  </si>
  <si>
    <t>PASS</t>
  </si>
  <si>
    <t>FAIL</t>
  </si>
  <si>
    <t>MAKE-UP</t>
  </si>
  <si>
    <t>a131004</t>
  </si>
  <si>
    <t>a131099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</si>
</sst>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新細明體"/>
    </font>
    <font>
      <sz val="12.0"/>
      <color rgb="FF000000"/>
      <name val="新細明體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wrapText="0"/>
    </xf>
    <xf borderId="2" fillId="0" fontId="1" numFmtId="0" xfId="0" applyAlignment="1" applyBorder="1" applyFont="1">
      <alignment horizontal="right" readingOrder="0" shrinkToFit="0" wrapText="0"/>
    </xf>
    <xf borderId="1" fillId="2" fontId="1" numFmtId="0" xfId="0" applyAlignment="1" applyBorder="1" applyFill="1" applyFont="1">
      <alignment horizontal="right" readingOrder="0" shrinkToFit="0" wrapText="0"/>
    </xf>
    <xf borderId="1" fillId="3" fontId="1" numFmtId="0" xfId="0" applyAlignment="1" applyBorder="1" applyFill="1" applyFont="1">
      <alignment horizontal="right" readingOrder="0" shrinkToFit="0" wrapText="0"/>
    </xf>
    <xf borderId="3" fillId="0" fontId="2" numFmtId="0" xfId="0" applyAlignment="1" applyBorder="1" applyFon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3" fillId="0" fontId="2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0" fillId="0" fontId="2" numFmtId="4" xfId="0" applyAlignment="1" applyFont="1" applyNumberFormat="1">
      <alignment horizontal="right" readingOrder="0" shrinkToFit="0" wrapText="0"/>
    </xf>
    <xf borderId="3" fillId="0" fontId="3" numFmtId="0" xfId="0" applyAlignment="1" applyBorder="1" applyFont="1">
      <alignment horizontal="right"/>
    </xf>
    <xf borderId="0" fillId="4" fontId="2" numFmtId="0" xfId="0" applyAlignment="1" applyFill="1" applyFont="1">
      <alignment readingOrder="0" shrinkToFit="0" wrapText="0"/>
    </xf>
    <xf borderId="0" fillId="4" fontId="2" numFmtId="0" xfId="0" applyAlignment="1" applyFont="1">
      <alignment horizontal="right" readingOrder="0" shrinkToFit="0" wrapText="0"/>
    </xf>
    <xf borderId="3" fillId="4" fontId="2" numFmtId="4" xfId="0" applyAlignment="1" applyBorder="1" applyFont="1" applyNumberFormat="1">
      <alignment horizontal="right" readingOrder="0" shrinkToFit="0" wrapText="0"/>
    </xf>
    <xf borderId="3" fillId="2" fontId="3" numFmtId="0" xfId="0" applyAlignment="1" applyBorder="1" applyFont="1">
      <alignment horizontal="right" readingOrder="0"/>
    </xf>
    <xf borderId="3" fillId="2" fontId="2" numFmtId="4" xfId="0" applyAlignment="1" applyBorder="1" applyFont="1" applyNumberFormat="1">
      <alignment horizontal="right" readingOrder="0" shrinkToFit="0" wrapText="0"/>
    </xf>
    <xf borderId="3" fillId="0" fontId="3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 shrinkToFit="0" wrapText="0"/>
    </xf>
    <xf borderId="2" fillId="0" fontId="2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horizontal="right" readingOrder="0" shrinkToFit="0" wrapText="0"/>
    </xf>
    <xf borderId="1" fillId="0" fontId="2" numFmtId="4" xfId="0" applyAlignment="1" applyBorder="1" applyFont="1" applyNumberFormat="1">
      <alignment horizontal="right" readingOrder="0" shrinkToFit="0" wrapText="0"/>
    </xf>
    <xf borderId="2" fillId="4" fontId="2" numFmtId="0" xfId="0" applyAlignment="1" applyBorder="1" applyFont="1">
      <alignment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1" fillId="4" fontId="2" numFmtId="4" xfId="0" applyAlignment="1" applyBorder="1" applyFont="1" applyNumberFormat="1">
      <alignment horizontal="right" readingOrder="0" shrinkToFit="0" wrapText="0"/>
    </xf>
    <xf borderId="2" fillId="0" fontId="2" numFmtId="4" xfId="0" applyAlignment="1" applyBorder="1" applyFont="1" applyNumberFormat="1">
      <alignment horizontal="right" readingOrder="0" shrinkToFit="0" wrapText="0"/>
    </xf>
    <xf borderId="1" fillId="0" fontId="3" numFmtId="0" xfId="0" applyAlignment="1" applyBorder="1" applyFont="1">
      <alignment horizontal="right"/>
    </xf>
    <xf borderId="4" fillId="0" fontId="3" numFmtId="0" xfId="0" applyBorder="1" applyFont="1"/>
    <xf borderId="5" fillId="0" fontId="3" numFmtId="0" xfId="0" applyBorder="1" applyFont="1"/>
    <xf borderId="5" fillId="0" fontId="3" numFmtId="0" xfId="0" applyBorder="1" applyFont="1"/>
    <xf borderId="6" fillId="5" fontId="2" numFmtId="4" xfId="0" applyAlignment="1" applyBorder="1" applyFill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13"/>
    <col customWidth="1" min="4" max="4" width="15.0"/>
    <col customWidth="1" min="6" max="6" width="13.0"/>
    <col customWidth="1" min="9" max="9" width="15.0"/>
    <col customWidth="1" min="11" max="11" width="13.0"/>
    <col customWidth="1" min="14" max="14" width="15.0"/>
    <col customWidth="1" min="16" max="16" width="13.0"/>
    <col customWidth="1" min="19" max="19" width="15.0"/>
    <col customWidth="1" min="21" max="21" width="13.0"/>
    <col customWidth="1" min="23" max="23" width="12.63"/>
    <col customWidth="1" min="24" max="24" width="15.0"/>
    <col customWidth="1" min="26" max="26" width="13.0"/>
    <col customWidth="1" min="28" max="28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3" t="s">
        <v>27</v>
      </c>
      <c r="AC1" s="4" t="s">
        <v>28</v>
      </c>
      <c r="AD1" s="2"/>
    </row>
    <row r="2">
      <c r="A2" s="5">
        <v>1.1151101E8</v>
      </c>
      <c r="B2" s="6" t="s">
        <v>29</v>
      </c>
      <c r="C2" s="7">
        <v>1242138.0</v>
      </c>
      <c r="D2" s="7">
        <v>169.3073</v>
      </c>
      <c r="E2" s="7">
        <f>IFERROR(__xludf.DUMMYFUNCTION("IF(B2=""PASS"", RANK.EQ(C2, FILTER($C$2:$C$142, $B$2:$B$142=""PASS""), 1) + COUNTIFS($C$2:$C$142, C2, $D$2:$D$142, ""&lt;""&amp;D2, $B$2:$B$142, ""PASS""), """")"),116.0)</f>
        <v>116</v>
      </c>
      <c r="F2" s="8">
        <f t="shared" ref="F2:F142" si="1">IF(B2="PASS", 15+(MAX($E$2:$E$142)-E2+1)/MAX($E$2:$E$142)*5, IF(B2="MAKE-UP", 15, 0))</f>
        <v>15.54263566</v>
      </c>
      <c r="G2" s="6" t="s">
        <v>30</v>
      </c>
      <c r="H2" s="9"/>
      <c r="I2" s="7">
        <v>180.1185</v>
      </c>
      <c r="J2" s="7" t="str">
        <f>IFERROR(__xludf.DUMMYFUNCTION("IF(G2=""PASS"", RANK.EQ(H2, FILTER($H$2:$H$142, $G$2:$G$142=""PASS""), 1) + COUNTIFS($H$2:$H$142, H2, $I$2:$I$142, ""&lt;""&amp;I2, $G$2:$G$142, ""PASS""), """")"),"")</f>
        <v/>
      </c>
      <c r="K2" s="8">
        <f t="shared" ref="K2:K142" si="2">IF(G2="PASS", 15+(MAX($J$2:$J$142)-J2+1)/MAX($J$2:$J$142)*5, IF(G2="MAKE-UP", 15, 0))</f>
        <v>0</v>
      </c>
      <c r="L2" s="6" t="s">
        <v>30</v>
      </c>
      <c r="M2" s="9"/>
      <c r="N2" s="7">
        <v>180.1905</v>
      </c>
      <c r="O2" s="7" t="str">
        <f>IFERROR(__xludf.DUMMYFUNCTION("IF(L2=""PASS"", RANK.EQ(M2, FILTER($M$2:$M$142, $L$2:$L$142=""PASS""), 1) + COUNTIFS($M$2:$M$142, M2, $N$2:$N$142, ""&lt;""&amp;N2, $L$2:$L$142, ""PASS""), """")"),"")</f>
        <v/>
      </c>
      <c r="P2" s="8">
        <f t="shared" ref="P2:P142" si="3">IF(L2="PASS", 15+(MAX($O$2:$O$142)-O2+1)/MAX($O$2:$O$142)*5, IF(L2="MAKE-UP", 15, 0))</f>
        <v>0</v>
      </c>
      <c r="Q2" s="6" t="s">
        <v>30</v>
      </c>
      <c r="R2" s="9"/>
      <c r="S2" s="7">
        <v>180.1257</v>
      </c>
      <c r="T2" s="7" t="str">
        <f>IFERROR(__xludf.DUMMYFUNCTION("IF(Q2=""PASS"", RANK.EQ(R2, FILTER($R$2:$R$142, $Q$2:$Q$142=""PASS""), 1) + COUNTIFS($R$2:$R$142, R2, $S$2:$S$142, ""&lt;""&amp;S2, $Q$2:$Q$142, ""PASS""), """")"),"")</f>
        <v/>
      </c>
      <c r="U2" s="8">
        <f t="shared" ref="U2:U142" si="4">IF(Q2="PASS", 15+(MAX($T$2:$T$142)-T2+1)/MAX($T$2:$T$142)*5, IF(Q2="MAKE-UP", 15, 0))</f>
        <v>0</v>
      </c>
      <c r="V2" s="6" t="s">
        <v>30</v>
      </c>
      <c r="W2" s="9"/>
      <c r="X2" s="7">
        <v>180.3747</v>
      </c>
      <c r="Y2" s="7" t="str">
        <f>IFERROR(__xludf.DUMMYFUNCTION("IF(V2=""PASS"", RANK.EQ(W2, FILTER($W$2:$W$142, $V$2:$V$142=""PASS""), 1) + COUNTIFS($W$2:$W$142, W2, $X$2:$X$142, ""&lt;""&amp;X2, $V$2:$V$142, ""PASS""), """")"),"")</f>
        <v/>
      </c>
      <c r="Z2" s="8">
        <f t="shared" ref="Z2:Z142" si="5">IF(V2="PASS", 15+(MAX($Y$2:$Y$142)-Y2+1)/MAX($Y$2:$Y$142)*5, IF(V2="MAKE-UP", 15, 0))</f>
        <v>0</v>
      </c>
      <c r="AA2" s="10">
        <f t="shared" ref="AA2:AA142" si="6">F2+K2+P2+U2+Z2</f>
        <v>15.54263566</v>
      </c>
      <c r="AB2" s="11" t="b">
        <v>0</v>
      </c>
      <c r="AC2" s="8">
        <f t="shared" ref="AC2:AC52" si="7">IF(AB2=TRUE, MAX(AA2-5, 0), AA2)</f>
        <v>15.54263566</v>
      </c>
      <c r="AD2" s="7"/>
    </row>
    <row r="3">
      <c r="A3" s="5">
        <v>1.11511011E8</v>
      </c>
      <c r="B3" s="6" t="s">
        <v>29</v>
      </c>
      <c r="C3" s="7">
        <v>937330.0</v>
      </c>
      <c r="D3" s="7">
        <v>0.2322</v>
      </c>
      <c r="E3" s="7">
        <f>IFERROR(__xludf.DUMMYFUNCTION("IF(B3=""PASS"", RANK.EQ(C3, FILTER($C$2:$C$142, $B$2:$B$142=""PASS""), 1) + COUNTIFS($C$2:$C$142, C3, $D$2:$D$142, ""&lt;""&amp;D3, $B$2:$B$142, ""PASS""), """")"),78.0)</f>
        <v>78</v>
      </c>
      <c r="F3" s="8">
        <f t="shared" si="1"/>
        <v>17.01550388</v>
      </c>
      <c r="G3" s="6" t="s">
        <v>29</v>
      </c>
      <c r="H3" s="7">
        <v>4420337.0</v>
      </c>
      <c r="I3" s="7">
        <v>1.3368</v>
      </c>
      <c r="J3" s="7">
        <f>IFERROR(__xludf.DUMMYFUNCTION("IF(G3=""PASS"", RANK.EQ(H3, FILTER($H$2:$H$142, $G$2:$G$142=""PASS""), 1) + COUNTIFS($H$2:$H$142, H3, $I$2:$I$142, ""&lt;""&amp;I3, $G$2:$G$142, ""PASS""), """")"),73.0)</f>
        <v>73</v>
      </c>
      <c r="K3" s="8">
        <f t="shared" si="2"/>
        <v>17.1875</v>
      </c>
      <c r="L3" s="6" t="s">
        <v>29</v>
      </c>
      <c r="M3" s="7">
        <v>1.9199472E7</v>
      </c>
      <c r="N3" s="7">
        <v>5.6662</v>
      </c>
      <c r="O3" s="7">
        <f>IFERROR(__xludf.DUMMYFUNCTION("IF(L3=""PASS"", RANK.EQ(M3, FILTER($M$2:$M$142, $L$2:$L$142=""PASS""), 1) + COUNTIFS($M$2:$M$142, M3, $N$2:$N$142, ""&lt;""&amp;N3, $L$2:$L$142, ""PASS""), """")"),67.0)</f>
        <v>67</v>
      </c>
      <c r="P3" s="8">
        <f t="shared" si="3"/>
        <v>17.29508197</v>
      </c>
      <c r="Q3" s="6" t="s">
        <v>29</v>
      </c>
      <c r="R3" s="7">
        <v>1.9427479E7</v>
      </c>
      <c r="S3" s="7">
        <v>5.9811</v>
      </c>
      <c r="T3" s="7">
        <f>IFERROR(__xludf.DUMMYFUNCTION("IF(Q3=""PASS"", RANK.EQ(R3, FILTER($R$2:$R$142, $Q$2:$Q$142=""PASS""), 1) + COUNTIFS($R$2:$R$142, R3, $S$2:$S$142, ""&lt;""&amp;S3, $Q$2:$Q$142, ""PASS""), """")"),65.0)</f>
        <v>65</v>
      </c>
      <c r="U3" s="8">
        <f t="shared" si="4"/>
        <v>17.33333333</v>
      </c>
      <c r="V3" s="6" t="s">
        <v>29</v>
      </c>
      <c r="W3" s="7">
        <v>1.28625339E8</v>
      </c>
      <c r="X3" s="7">
        <v>20.9263</v>
      </c>
      <c r="Y3" s="7">
        <f>IFERROR(__xludf.DUMMYFUNCTION("IF(V3=""PASS"", RANK.EQ(W3, FILTER($W$2:$W$142, $V$2:$V$142=""PASS""), 1) + COUNTIFS($W$2:$W$142, W3, $X$2:$X$142, ""&lt;""&amp;X3, $V$2:$V$142, ""PASS""), """")"),14.0)</f>
        <v>14</v>
      </c>
      <c r="Z3" s="8">
        <f t="shared" si="5"/>
        <v>19.21686747</v>
      </c>
      <c r="AA3" s="10">
        <f t="shared" si="6"/>
        <v>88.04828665</v>
      </c>
      <c r="AB3" s="11" t="b">
        <v>0</v>
      </c>
      <c r="AC3" s="8">
        <f t="shared" si="7"/>
        <v>88.04828665</v>
      </c>
      <c r="AD3" s="7"/>
    </row>
    <row r="4">
      <c r="A4" s="5">
        <v>1.11511106E8</v>
      </c>
      <c r="B4" s="6" t="s">
        <v>29</v>
      </c>
      <c r="C4" s="7">
        <v>1021868.0</v>
      </c>
      <c r="D4" s="7">
        <v>4.2671</v>
      </c>
      <c r="E4" s="7">
        <f>IFERROR(__xludf.DUMMYFUNCTION("IF(B4=""PASS"", RANK.EQ(C4, FILTER($C$2:$C$142, $B$2:$B$142=""PASS""), 1) + COUNTIFS($C$2:$C$142, C4, $D$2:$D$142, ""&lt;""&amp;D4, $B$2:$B$142, ""PASS""), """")"),87.0)</f>
        <v>87</v>
      </c>
      <c r="F4" s="8">
        <f t="shared" si="1"/>
        <v>16.66666667</v>
      </c>
      <c r="G4" s="6" t="s">
        <v>29</v>
      </c>
      <c r="H4" s="7">
        <v>5070167.0</v>
      </c>
      <c r="I4" s="7">
        <v>20.8318</v>
      </c>
      <c r="J4" s="7">
        <f>IFERROR(__xludf.DUMMYFUNCTION("IF(G4=""PASS"", RANK.EQ(H4, FILTER($H$2:$H$142, $G$2:$G$142=""PASS""), 1) + COUNTIFS($H$2:$H$142, H4, $I$2:$I$142, ""&lt;""&amp;I4, $G$2:$G$142, ""PASS""), """")"),83.0)</f>
        <v>83</v>
      </c>
      <c r="K4" s="8">
        <f t="shared" si="2"/>
        <v>16.796875</v>
      </c>
      <c r="L4" s="6" t="s">
        <v>29</v>
      </c>
      <c r="M4" s="7">
        <v>2.1745693E7</v>
      </c>
      <c r="N4" s="7">
        <v>90.1183</v>
      </c>
      <c r="O4" s="7">
        <f>IFERROR(__xludf.DUMMYFUNCTION("IF(L4=""PASS"", RANK.EQ(M4, FILTER($M$2:$M$142, $L$2:$L$142=""PASS""), 1) + COUNTIFS($M$2:$M$142, M4, $N$2:$N$142, ""&lt;""&amp;N4, $L$2:$L$142, ""PASS""), """")"),76.0)</f>
        <v>76</v>
      </c>
      <c r="P4" s="8">
        <f t="shared" si="3"/>
        <v>16.92622951</v>
      </c>
      <c r="Q4" s="6" t="s">
        <v>29</v>
      </c>
      <c r="R4" s="7">
        <v>2.2250317E7</v>
      </c>
      <c r="S4" s="7">
        <v>91.1138</v>
      </c>
      <c r="T4" s="7">
        <f>IFERROR(__xludf.DUMMYFUNCTION("IF(Q4=""PASS"", RANK.EQ(R4, FILTER($R$2:$R$142, $Q$2:$Q$142=""PASS""), 1) + COUNTIFS($R$2:$R$142, R4, $S$2:$S$142, ""&lt;""&amp;S4, $Q$2:$Q$142, ""PASS""), """")"),76.0)</f>
        <v>76</v>
      </c>
      <c r="U4" s="8">
        <f t="shared" si="4"/>
        <v>16.875</v>
      </c>
      <c r="V4" s="6" t="s">
        <v>30</v>
      </c>
      <c r="W4" s="9"/>
      <c r="X4" s="7">
        <v>180.1955</v>
      </c>
      <c r="Y4" s="7" t="str">
        <f>IFERROR(__xludf.DUMMYFUNCTION("IF(V4=""PASS"", RANK.EQ(W4, FILTER($W$2:$W$142, $V$2:$V$142=""PASS""), 1) + COUNTIFS($W$2:$W$142, W4, $X$2:$X$142, ""&lt;""&amp;X4, $V$2:$V$142, ""PASS""), """")"),"")</f>
        <v/>
      </c>
      <c r="Z4" s="8">
        <f t="shared" si="5"/>
        <v>0</v>
      </c>
      <c r="AA4" s="10">
        <f t="shared" si="6"/>
        <v>67.26477117</v>
      </c>
      <c r="AB4" s="11" t="b">
        <v>0</v>
      </c>
      <c r="AC4" s="8">
        <f t="shared" si="7"/>
        <v>67.26477117</v>
      </c>
      <c r="AD4" s="7"/>
    </row>
    <row r="5">
      <c r="A5" s="5">
        <v>1.11511186E8</v>
      </c>
      <c r="B5" s="6" t="s">
        <v>29</v>
      </c>
      <c r="C5" s="7">
        <v>667576.0</v>
      </c>
      <c r="D5" s="7">
        <v>38.909</v>
      </c>
      <c r="E5" s="7">
        <f>IFERROR(__xludf.DUMMYFUNCTION("IF(B5=""PASS"", RANK.EQ(C5, FILTER($C$2:$C$142, $B$2:$B$142=""PASS""), 1) + COUNTIFS($C$2:$C$142, C5, $D$2:$D$142, ""&lt;""&amp;D5, $B$2:$B$142, ""PASS""), """")"),22.0)</f>
        <v>22</v>
      </c>
      <c r="F5" s="8">
        <f t="shared" si="1"/>
        <v>19.18604651</v>
      </c>
      <c r="G5" s="6" t="s">
        <v>29</v>
      </c>
      <c r="H5" s="7">
        <v>2871200.0</v>
      </c>
      <c r="I5" s="7">
        <v>132.352</v>
      </c>
      <c r="J5" s="7">
        <f>IFERROR(__xludf.DUMMYFUNCTION("IF(G5=""PASS"", RANK.EQ(H5, FILTER($H$2:$H$142, $G$2:$G$142=""PASS""), 1) + COUNTIFS($H$2:$H$142, H5, $I$2:$I$142, ""&lt;""&amp;I5, $G$2:$G$142, ""PASS""), """")"),19.0)</f>
        <v>19</v>
      </c>
      <c r="K5" s="8">
        <f t="shared" si="2"/>
        <v>19.296875</v>
      </c>
      <c r="L5" s="6" t="s">
        <v>29</v>
      </c>
      <c r="M5" s="7">
        <v>1.2449984E7</v>
      </c>
      <c r="N5" s="7">
        <v>147.7569</v>
      </c>
      <c r="O5" s="7">
        <f>IFERROR(__xludf.DUMMYFUNCTION("IF(L5=""PASS"", RANK.EQ(M5, FILTER($M$2:$M$142, $L$2:$L$142=""PASS""), 1) + COUNTIFS($M$2:$M$142, M5, $N$2:$N$142, ""&lt;""&amp;N5, $L$2:$L$142, ""PASS""), """")"),16.0)</f>
        <v>16</v>
      </c>
      <c r="P5" s="8">
        <f t="shared" si="3"/>
        <v>19.3852459</v>
      </c>
      <c r="Q5" s="6" t="s">
        <v>29</v>
      </c>
      <c r="R5" s="7">
        <v>1.2440041E7</v>
      </c>
      <c r="S5" s="7">
        <v>161.7118</v>
      </c>
      <c r="T5" s="7">
        <f>IFERROR(__xludf.DUMMYFUNCTION("IF(Q5=""PASS"", RANK.EQ(R5, FILTER($R$2:$R$142, $Q$2:$Q$142=""PASS""), 1) + COUNTIFS($R$2:$R$142, R5, $S$2:$S$142, ""&lt;""&amp;S5, $Q$2:$Q$142, ""PASS""), """")"),16.0)</f>
        <v>16</v>
      </c>
      <c r="U5" s="8">
        <f t="shared" si="4"/>
        <v>19.375</v>
      </c>
      <c r="V5" s="12" t="s">
        <v>31</v>
      </c>
      <c r="W5" s="13">
        <v>1.31453933E8</v>
      </c>
      <c r="X5" s="13">
        <v>141.4865</v>
      </c>
      <c r="Y5" s="13" t="str">
        <f>IFERROR(__xludf.DUMMYFUNCTION("IF(V5=""PASS"", RANK.EQ(W5, FILTER($W$2:$W$142, $V$2:$V$142=""PASS""), 1) + COUNTIFS($W$2:$W$142, W5, $X$2:$X$142, ""&lt;""&amp;X5, $V$2:$V$142, ""PASS""), """")"),"")</f>
        <v/>
      </c>
      <c r="Z5" s="14">
        <f t="shared" si="5"/>
        <v>15</v>
      </c>
      <c r="AA5" s="10">
        <f t="shared" si="6"/>
        <v>92.24316741</v>
      </c>
      <c r="AB5" s="11" t="b">
        <v>0</v>
      </c>
      <c r="AC5" s="8">
        <f t="shared" si="7"/>
        <v>92.24316741</v>
      </c>
      <c r="AD5" s="7"/>
    </row>
    <row r="6">
      <c r="A6" s="5">
        <v>1.11511236E8</v>
      </c>
      <c r="B6" s="6" t="s">
        <v>29</v>
      </c>
      <c r="C6" s="7">
        <v>610577.0</v>
      </c>
      <c r="D6" s="7">
        <v>2.001</v>
      </c>
      <c r="E6" s="7">
        <f>IFERROR(__xludf.DUMMYFUNCTION("IF(B6=""PASS"", RANK.EQ(C6, FILTER($C$2:$C$142, $B$2:$B$142=""PASS""), 1) + COUNTIFS($C$2:$C$142, C6, $D$2:$D$142, ""&lt;""&amp;D6, $B$2:$B$142, ""PASS""), """")"),2.0)</f>
        <v>2</v>
      </c>
      <c r="F6" s="8">
        <f t="shared" si="1"/>
        <v>19.96124031</v>
      </c>
      <c r="G6" s="6" t="s">
        <v>29</v>
      </c>
      <c r="H6" s="7">
        <v>2507877.0</v>
      </c>
      <c r="I6" s="7">
        <v>10.7539</v>
      </c>
      <c r="J6" s="7">
        <f>IFERROR(__xludf.DUMMYFUNCTION("IF(G6=""PASS"", RANK.EQ(H6, FILTER($H$2:$H$142, $G$2:$G$142=""PASS""), 1) + COUNTIFS($H$2:$H$142, H6, $I$2:$I$142, ""&lt;""&amp;I6, $G$2:$G$142, ""PASS""), """")"),1.0)</f>
        <v>1</v>
      </c>
      <c r="K6" s="8">
        <f t="shared" si="2"/>
        <v>20</v>
      </c>
      <c r="L6" s="6" t="s">
        <v>29</v>
      </c>
      <c r="M6" s="7">
        <v>1.0642883E7</v>
      </c>
      <c r="N6" s="7">
        <v>48.5981</v>
      </c>
      <c r="O6" s="7">
        <f>IFERROR(__xludf.DUMMYFUNCTION("IF(L6=""PASS"", RANK.EQ(M6, FILTER($M$2:$M$142, $L$2:$L$142=""PASS""), 1) + COUNTIFS($M$2:$M$142, M6, $N$2:$N$142, ""&lt;""&amp;N6, $L$2:$L$142, ""PASS""), """")"),1.0)</f>
        <v>1</v>
      </c>
      <c r="P6" s="8">
        <f t="shared" si="3"/>
        <v>20</v>
      </c>
      <c r="Q6" s="6" t="s">
        <v>29</v>
      </c>
      <c r="R6" s="7">
        <v>1.0550064E7</v>
      </c>
      <c r="S6" s="7">
        <v>50.444</v>
      </c>
      <c r="T6" s="7">
        <f>IFERROR(__xludf.DUMMYFUNCTION("IF(Q6=""PASS"", RANK.EQ(R6, FILTER($R$2:$R$142, $Q$2:$Q$142=""PASS""), 1) + COUNTIFS($R$2:$R$142, R6, $S$2:$S$142, ""&lt;""&amp;S6, $Q$2:$Q$142, ""PASS""), """")"),1.0)</f>
        <v>1</v>
      </c>
      <c r="U6" s="8">
        <f t="shared" si="4"/>
        <v>20</v>
      </c>
      <c r="V6" s="6" t="s">
        <v>29</v>
      </c>
      <c r="W6" s="7">
        <v>1.28625339E8</v>
      </c>
      <c r="X6" s="7">
        <v>61.0612</v>
      </c>
      <c r="Y6" s="7">
        <f>IFERROR(__xludf.DUMMYFUNCTION("IF(V6=""PASS"", RANK.EQ(W6, FILTER($W$2:$W$142, $V$2:$V$142=""PASS""), 1) + COUNTIFS($W$2:$W$142, W6, $X$2:$X$142, ""&lt;""&amp;X6, $V$2:$V$142, ""PASS""), """")"),36.0)</f>
        <v>36</v>
      </c>
      <c r="Z6" s="8">
        <f t="shared" si="5"/>
        <v>17.89156627</v>
      </c>
      <c r="AA6" s="10">
        <f t="shared" si="6"/>
        <v>97.85280658</v>
      </c>
      <c r="AB6" s="11" t="b">
        <v>0</v>
      </c>
      <c r="AC6" s="8">
        <f t="shared" si="7"/>
        <v>97.85280658</v>
      </c>
      <c r="AD6" s="7"/>
    </row>
    <row r="7">
      <c r="A7" s="5">
        <v>1.11613013E8</v>
      </c>
      <c r="B7" s="6" t="s">
        <v>29</v>
      </c>
      <c r="C7" s="7">
        <v>807448.0</v>
      </c>
      <c r="D7" s="7">
        <v>7.8542</v>
      </c>
      <c r="E7" s="7">
        <f>IFERROR(__xludf.DUMMYFUNCTION("IF(B7=""PASS"", RANK.EQ(C7, FILTER($C$2:$C$142, $B$2:$B$142=""PASS""), 1) + COUNTIFS($C$2:$C$142, C7, $D$2:$D$142, ""&lt;""&amp;D7, $B$2:$B$142, ""PASS""), """")"),66.0)</f>
        <v>66</v>
      </c>
      <c r="F7" s="8">
        <f t="shared" si="1"/>
        <v>17.48062016</v>
      </c>
      <c r="G7" s="6" t="s">
        <v>29</v>
      </c>
      <c r="H7" s="7">
        <v>3606625.0</v>
      </c>
      <c r="I7" s="7">
        <v>49.4259</v>
      </c>
      <c r="J7" s="7">
        <f>IFERROR(__xludf.DUMMYFUNCTION("IF(G7=""PASS"", RANK.EQ(H7, FILTER($H$2:$H$142, $G$2:$G$142=""PASS""), 1) + COUNTIFS($H$2:$H$142, H7, $I$2:$I$142, ""&lt;""&amp;I7, $G$2:$G$142, ""PASS""), """")"),63.0)</f>
        <v>63</v>
      </c>
      <c r="K7" s="8">
        <f t="shared" si="2"/>
        <v>17.578125</v>
      </c>
      <c r="L7" s="6" t="s">
        <v>29</v>
      </c>
      <c r="M7" s="7">
        <v>2.2074546E7</v>
      </c>
      <c r="N7" s="7">
        <v>143.1201</v>
      </c>
      <c r="O7" s="7">
        <f>IFERROR(__xludf.DUMMYFUNCTION("IF(L7=""PASS"", RANK.EQ(M7, FILTER($M$2:$M$142, $L$2:$L$142=""PASS""), 1) + COUNTIFS($M$2:$M$142, M7, $N$2:$N$142, ""&lt;""&amp;N7, $L$2:$L$142, ""PASS""), """")"),77.0)</f>
        <v>77</v>
      </c>
      <c r="P7" s="8">
        <f t="shared" si="3"/>
        <v>16.8852459</v>
      </c>
      <c r="Q7" s="6" t="s">
        <v>29</v>
      </c>
      <c r="R7" s="7">
        <v>2.261995E7</v>
      </c>
      <c r="S7" s="7">
        <v>145.4123</v>
      </c>
      <c r="T7" s="7">
        <f>IFERROR(__xludf.DUMMYFUNCTION("IF(Q7=""PASS"", RANK.EQ(R7, FILTER($R$2:$R$142, $Q$2:$Q$142=""PASS""), 1) + COUNTIFS($R$2:$R$142, R7, $S$2:$S$142, ""&lt;""&amp;S7, $Q$2:$Q$142, ""PASS""), """")"),77.0)</f>
        <v>77</v>
      </c>
      <c r="U7" s="8">
        <f t="shared" si="4"/>
        <v>16.83333333</v>
      </c>
      <c r="V7" s="6" t="s">
        <v>29</v>
      </c>
      <c r="W7" s="7">
        <v>1.32856364E8</v>
      </c>
      <c r="X7" s="7">
        <v>96.5078</v>
      </c>
      <c r="Y7" s="7">
        <f>IFERROR(__xludf.DUMMYFUNCTION("IF(V7=""PASS"", RANK.EQ(W7, FILTER($W$2:$W$142, $V$2:$V$142=""PASS""), 1) + COUNTIFS($W$2:$W$142, W7, $X$2:$X$142, ""&lt;""&amp;X7, $V$2:$V$142, ""PASS""), """")"),68.0)</f>
        <v>68</v>
      </c>
      <c r="Z7" s="8">
        <f t="shared" si="5"/>
        <v>15.96385542</v>
      </c>
      <c r="AA7" s="10">
        <f t="shared" si="6"/>
        <v>84.74117981</v>
      </c>
      <c r="AB7" s="11" t="b">
        <v>0</v>
      </c>
      <c r="AC7" s="8">
        <f t="shared" si="7"/>
        <v>84.74117981</v>
      </c>
      <c r="AD7" s="7"/>
    </row>
    <row r="8">
      <c r="A8" s="5">
        <v>3.11833022E8</v>
      </c>
      <c r="B8" s="6" t="s">
        <v>29</v>
      </c>
      <c r="C8" s="7">
        <v>1050814.0</v>
      </c>
      <c r="D8" s="7">
        <v>11.087</v>
      </c>
      <c r="E8" s="7">
        <f>IFERROR(__xludf.DUMMYFUNCTION("IF(B8=""PASS"", RANK.EQ(C8, FILTER($C$2:$C$142, $B$2:$B$142=""PASS""), 1) + COUNTIFS($C$2:$C$142, C8, $D$2:$D$142, ""&lt;""&amp;D8, $B$2:$B$142, ""PASS""), """")"),101.0)</f>
        <v>101</v>
      </c>
      <c r="F8" s="8">
        <f t="shared" si="1"/>
        <v>16.12403101</v>
      </c>
      <c r="G8" s="6" t="s">
        <v>29</v>
      </c>
      <c r="H8" s="7">
        <v>6246633.0</v>
      </c>
      <c r="I8" s="7">
        <v>159.9093</v>
      </c>
      <c r="J8" s="7">
        <f>IFERROR(__xludf.DUMMYFUNCTION("IF(G8=""PASS"", RANK.EQ(H8, FILTER($H$2:$H$142, $G$2:$G$142=""PASS""), 1) + COUNTIFS($H$2:$H$142, H8, $I$2:$I$142, ""&lt;""&amp;I8, $G$2:$G$142, ""PASS""), """")"),104.0)</f>
        <v>104</v>
      </c>
      <c r="K8" s="8">
        <f t="shared" si="2"/>
        <v>15.9765625</v>
      </c>
      <c r="L8" s="6" t="s">
        <v>29</v>
      </c>
      <c r="M8" s="7">
        <v>3.6915148E7</v>
      </c>
      <c r="N8" s="7">
        <v>159.4715</v>
      </c>
      <c r="O8" s="7">
        <f>IFERROR(__xludf.DUMMYFUNCTION("IF(L8=""PASS"", RANK.EQ(M8, FILTER($M$2:$M$142, $L$2:$L$142=""PASS""), 1) + COUNTIFS($M$2:$M$142, M8, $N$2:$N$142, ""&lt;""&amp;N8, $L$2:$L$142, ""PASS""), """")"),103.0)</f>
        <v>103</v>
      </c>
      <c r="P8" s="8">
        <f t="shared" si="3"/>
        <v>15.81967213</v>
      </c>
      <c r="Q8" s="6" t="s">
        <v>29</v>
      </c>
      <c r="R8" s="7">
        <v>3.8150738E7</v>
      </c>
      <c r="S8" s="7">
        <v>159.4245</v>
      </c>
      <c r="T8" s="7">
        <f>IFERROR(__xludf.DUMMYFUNCTION("IF(Q8=""PASS"", RANK.EQ(R8, FILTER($R$2:$R$142, $Q$2:$Q$142=""PASS""), 1) + COUNTIFS($R$2:$R$142, R8, $S$2:$S$142, ""&lt;""&amp;S8, $Q$2:$Q$142, ""PASS""), """")"),102.0)</f>
        <v>102</v>
      </c>
      <c r="U8" s="8">
        <f t="shared" si="4"/>
        <v>15.79166667</v>
      </c>
      <c r="V8" s="12" t="s">
        <v>31</v>
      </c>
      <c r="W8" s="13">
        <v>1.34217743E8</v>
      </c>
      <c r="X8" s="13">
        <v>160.2945</v>
      </c>
      <c r="Y8" s="13" t="str">
        <f>IFERROR(__xludf.DUMMYFUNCTION("IF(V8=""PASS"", RANK.EQ(W8, FILTER($W$2:$W$142, $V$2:$V$142=""PASS""), 1) + COUNTIFS($W$2:$W$142, W8, $X$2:$X$142, ""&lt;""&amp;X8, $V$2:$V$142, ""PASS""), """")"),"")</f>
        <v/>
      </c>
      <c r="Z8" s="14">
        <f t="shared" si="5"/>
        <v>15</v>
      </c>
      <c r="AA8" s="10">
        <f t="shared" si="6"/>
        <v>78.71193231</v>
      </c>
      <c r="AB8" s="11" t="b">
        <v>0</v>
      </c>
      <c r="AC8" s="8">
        <f t="shared" si="7"/>
        <v>78.71193231</v>
      </c>
      <c r="AD8" s="7"/>
    </row>
    <row r="9">
      <c r="A9" s="5">
        <v>3.12510067E8</v>
      </c>
      <c r="B9" s="6" t="s">
        <v>29</v>
      </c>
      <c r="C9" s="7">
        <v>657580.0</v>
      </c>
      <c r="D9" s="7">
        <v>2.7267</v>
      </c>
      <c r="E9" s="7">
        <f>IFERROR(__xludf.DUMMYFUNCTION("IF(B9=""PASS"", RANK.EQ(C9, FILTER($C$2:$C$142, $B$2:$B$142=""PASS""), 1) + COUNTIFS($C$2:$C$142, C9, $D$2:$D$142, ""&lt;""&amp;D9, $B$2:$B$142, ""PASS""), """")"),17.0)</f>
        <v>17</v>
      </c>
      <c r="F9" s="8">
        <f t="shared" si="1"/>
        <v>19.37984496</v>
      </c>
      <c r="G9" s="6" t="s">
        <v>29</v>
      </c>
      <c r="H9" s="7">
        <v>2763260.0</v>
      </c>
      <c r="I9" s="7">
        <v>14.5203</v>
      </c>
      <c r="J9" s="7">
        <f>IFERROR(__xludf.DUMMYFUNCTION("IF(G9=""PASS"", RANK.EQ(H9, FILTER($H$2:$H$142, $G$2:$G$142=""PASS""), 1) + COUNTIFS($H$2:$H$142, H9, $I$2:$I$142, ""&lt;""&amp;I9, $G$2:$G$142, ""PASS""), """")"),14.0)</f>
        <v>14</v>
      </c>
      <c r="K9" s="8">
        <f t="shared" si="2"/>
        <v>19.4921875</v>
      </c>
      <c r="L9" s="6" t="s">
        <v>29</v>
      </c>
      <c r="M9" s="7">
        <v>1.1765932E7</v>
      </c>
      <c r="N9" s="7">
        <v>56.7208</v>
      </c>
      <c r="O9" s="7">
        <f>IFERROR(__xludf.DUMMYFUNCTION("IF(L9=""PASS"", RANK.EQ(M9, FILTER($M$2:$M$142, $L$2:$L$142=""PASS""), 1) + COUNTIFS($M$2:$M$142, M9, $N$2:$N$142, ""&lt;""&amp;N9, $L$2:$L$142, ""PASS""), """")"),8.0)</f>
        <v>8</v>
      </c>
      <c r="P9" s="8">
        <f t="shared" si="3"/>
        <v>19.71311475</v>
      </c>
      <c r="Q9" s="6" t="s">
        <v>29</v>
      </c>
      <c r="R9" s="7">
        <v>1.1699635E7</v>
      </c>
      <c r="S9" s="7">
        <v>60.9955</v>
      </c>
      <c r="T9" s="7">
        <f>IFERROR(__xludf.DUMMYFUNCTION("IF(Q9=""PASS"", RANK.EQ(R9, FILTER($R$2:$R$142, $Q$2:$Q$142=""PASS""), 1) + COUNTIFS($R$2:$R$142, R9, $S$2:$S$142, ""&lt;""&amp;S9, $Q$2:$Q$142, ""PASS""), """")"),8.0)</f>
        <v>8</v>
      </c>
      <c r="U9" s="8">
        <f t="shared" si="4"/>
        <v>19.70833333</v>
      </c>
      <c r="V9" s="6" t="s">
        <v>29</v>
      </c>
      <c r="W9" s="7">
        <v>1.28626704E8</v>
      </c>
      <c r="X9" s="7">
        <v>68.579</v>
      </c>
      <c r="Y9" s="7">
        <f>IFERROR(__xludf.DUMMYFUNCTION("IF(V9=""PASS"", RANK.EQ(W9, FILTER($W$2:$W$142, $V$2:$V$142=""PASS""), 1) + COUNTIFS($W$2:$W$142, W9, $X$2:$X$142, ""&lt;""&amp;X9, $V$2:$V$142, ""PASS""), """")"),60.0)</f>
        <v>60</v>
      </c>
      <c r="Z9" s="8">
        <f t="shared" si="5"/>
        <v>16.44578313</v>
      </c>
      <c r="AA9" s="10">
        <f t="shared" si="6"/>
        <v>94.73926368</v>
      </c>
      <c r="AB9" s="11" t="b">
        <v>0</v>
      </c>
      <c r="AC9" s="8">
        <f t="shared" si="7"/>
        <v>94.73926368</v>
      </c>
      <c r="AD9" s="7"/>
    </row>
    <row r="10">
      <c r="A10" s="5">
        <v>3.1251023E8</v>
      </c>
      <c r="B10" s="6" t="s">
        <v>29</v>
      </c>
      <c r="C10" s="7">
        <v>1152104.0</v>
      </c>
      <c r="D10" s="7">
        <v>0.5259</v>
      </c>
      <c r="E10" s="7">
        <f>IFERROR(__xludf.DUMMYFUNCTION("IF(B10=""PASS"", RANK.EQ(C10, FILTER($C$2:$C$142, $B$2:$B$142=""PASS""), 1) + COUNTIFS($C$2:$C$142, C10, $D$2:$D$142, ""&lt;""&amp;D10, $B$2:$B$142, ""PASS""), """")"),109.0)</f>
        <v>109</v>
      </c>
      <c r="F10" s="8">
        <f t="shared" si="1"/>
        <v>15.81395349</v>
      </c>
      <c r="G10" s="6" t="s">
        <v>29</v>
      </c>
      <c r="H10" s="7">
        <v>5924282.0</v>
      </c>
      <c r="I10" s="7">
        <v>2.359</v>
      </c>
      <c r="J10" s="7">
        <f>IFERROR(__xludf.DUMMYFUNCTION("IF(G10=""PASS"", RANK.EQ(H10, FILTER($H$2:$H$142, $G$2:$G$142=""PASS""), 1) + COUNTIFS($H$2:$H$142, H10, $I$2:$I$142, ""&lt;""&amp;I10, $G$2:$G$142, ""PASS""), """")"),99.0)</f>
        <v>99</v>
      </c>
      <c r="K10" s="8">
        <f t="shared" si="2"/>
        <v>16.171875</v>
      </c>
      <c r="L10" s="6" t="s">
        <v>29</v>
      </c>
      <c r="M10" s="7">
        <v>2.5362451E7</v>
      </c>
      <c r="N10" s="7">
        <v>9.9898</v>
      </c>
      <c r="O10" s="7">
        <f>IFERROR(__xludf.DUMMYFUNCTION("IF(L10=""PASS"", RANK.EQ(M10, FILTER($M$2:$M$142, $L$2:$L$142=""PASS""), 1) + COUNTIFS($M$2:$M$142, M10, $N$2:$N$142, ""&lt;""&amp;N10, $L$2:$L$142, ""PASS""), """")"),89.0)</f>
        <v>89</v>
      </c>
      <c r="P10" s="8">
        <f t="shared" si="3"/>
        <v>16.39344262</v>
      </c>
      <c r="Q10" s="6" t="s">
        <v>29</v>
      </c>
      <c r="R10" s="7">
        <v>2.6106256E7</v>
      </c>
      <c r="S10" s="7">
        <v>9.9363</v>
      </c>
      <c r="T10" s="7">
        <f>IFERROR(__xludf.DUMMYFUNCTION("IF(Q10=""PASS"", RANK.EQ(R10, FILTER($R$2:$R$142, $Q$2:$Q$142=""PASS""), 1) + COUNTIFS($R$2:$R$142, R10, $S$2:$S$142, ""&lt;""&amp;S10, $Q$2:$Q$142, ""PASS""), """")"),89.0)</f>
        <v>89</v>
      </c>
      <c r="U10" s="8">
        <f t="shared" si="4"/>
        <v>16.33333333</v>
      </c>
      <c r="V10" s="6" t="s">
        <v>29</v>
      </c>
      <c r="W10" s="7">
        <v>1.28625339E8</v>
      </c>
      <c r="X10" s="7">
        <v>40.411</v>
      </c>
      <c r="Y10" s="7">
        <f>IFERROR(__xludf.DUMMYFUNCTION("IF(V10=""PASS"", RANK.EQ(W10, FILTER($W$2:$W$142, $V$2:$V$142=""PASS""), 1) + COUNTIFS($W$2:$W$142, W10, $X$2:$X$142, ""&lt;""&amp;X10, $V$2:$V$142, ""PASS""), """")"),30.0)</f>
        <v>30</v>
      </c>
      <c r="Z10" s="8">
        <f t="shared" si="5"/>
        <v>18.25301205</v>
      </c>
      <c r="AA10" s="10">
        <f t="shared" si="6"/>
        <v>82.96561649</v>
      </c>
      <c r="AB10" s="11" t="b">
        <v>0</v>
      </c>
      <c r="AC10" s="8">
        <f t="shared" si="7"/>
        <v>82.96561649</v>
      </c>
      <c r="AD10" s="7"/>
    </row>
    <row r="11">
      <c r="A11" s="5">
        <v>3.12511047E8</v>
      </c>
      <c r="B11" s="12" t="s">
        <v>31</v>
      </c>
      <c r="C11" s="13">
        <v>785464.0</v>
      </c>
      <c r="D11" s="13">
        <v>0.8142</v>
      </c>
      <c r="E11" s="13" t="str">
        <f>IFERROR(__xludf.DUMMYFUNCTION("IF(B11=""PASS"", RANK.EQ(C11, FILTER($C$2:$C$142, $B$2:$B$142=""PASS""), 1) + COUNTIFS($C$2:$C$142, C11, $D$2:$D$142, ""&lt;""&amp;D11, $B$2:$B$142, ""PASS""), """")"),"")</f>
        <v/>
      </c>
      <c r="F11" s="14">
        <f t="shared" si="1"/>
        <v>15</v>
      </c>
      <c r="G11" s="12" t="s">
        <v>31</v>
      </c>
      <c r="H11" s="13">
        <v>3545491.0</v>
      </c>
      <c r="I11" s="13">
        <v>4.6859</v>
      </c>
      <c r="J11" s="13" t="str">
        <f>IFERROR(__xludf.DUMMYFUNCTION("IF(G11=""PASS"", RANK.EQ(H11, FILTER($H$2:$H$142, $G$2:$G$142=""PASS""), 1) + COUNTIFS($H$2:$H$142, H11, $I$2:$I$142, ""&lt;""&amp;I11, $G$2:$G$142, ""PASS""), """")"),"")</f>
        <v/>
      </c>
      <c r="K11" s="14">
        <f t="shared" si="2"/>
        <v>15</v>
      </c>
      <c r="L11" s="12" t="s">
        <v>31</v>
      </c>
      <c r="M11" s="13">
        <v>1.5269567E7</v>
      </c>
      <c r="N11" s="13">
        <v>21.8997</v>
      </c>
      <c r="O11" s="13" t="str">
        <f>IFERROR(__xludf.DUMMYFUNCTION("IF(L11=""PASS"", RANK.EQ(M11, FILTER($M$2:$M$142, $L$2:$L$142=""PASS""), 1) + COUNTIFS($M$2:$M$142, M11, $N$2:$N$142, ""&lt;""&amp;N11, $L$2:$L$142, ""PASS""), """")"),"")</f>
        <v/>
      </c>
      <c r="P11" s="14">
        <f t="shared" si="3"/>
        <v>15</v>
      </c>
      <c r="Q11" s="12" t="s">
        <v>31</v>
      </c>
      <c r="R11" s="13">
        <v>1.5347877E7</v>
      </c>
      <c r="S11" s="13">
        <v>22.3836</v>
      </c>
      <c r="T11" s="13" t="str">
        <f>IFERROR(__xludf.DUMMYFUNCTION("IF(Q11=""PASS"", RANK.EQ(R11, FILTER($R$2:$R$142, $Q$2:$Q$142=""PASS""), 1) + COUNTIFS($R$2:$R$142, R11, $S$2:$S$142, ""&lt;""&amp;S11, $Q$2:$Q$142, ""PASS""), """")"),"")</f>
        <v/>
      </c>
      <c r="U11" s="14">
        <f t="shared" si="4"/>
        <v>15</v>
      </c>
      <c r="V11" s="12" t="s">
        <v>31</v>
      </c>
      <c r="W11" s="13">
        <v>1.28625339E8</v>
      </c>
      <c r="X11" s="13">
        <v>110.6747</v>
      </c>
      <c r="Y11" s="13" t="str">
        <f>IFERROR(__xludf.DUMMYFUNCTION("IF(V11=""PASS"", RANK.EQ(W11, FILTER($W$2:$W$142, $V$2:$V$142=""PASS""), 1) + COUNTIFS($W$2:$W$142, W11, $X$2:$X$142, ""&lt;""&amp;X11, $V$2:$V$142, ""PASS""), """")"),"")</f>
        <v/>
      </c>
      <c r="Z11" s="14">
        <f t="shared" si="5"/>
        <v>15</v>
      </c>
      <c r="AA11" s="10">
        <f t="shared" si="6"/>
        <v>75</v>
      </c>
      <c r="AB11" s="11" t="b">
        <v>0</v>
      </c>
      <c r="AC11" s="8">
        <f t="shared" si="7"/>
        <v>75</v>
      </c>
      <c r="AD11" s="7"/>
    </row>
    <row r="12">
      <c r="A12" s="5">
        <v>3.12580064E8</v>
      </c>
      <c r="B12" s="6" t="s">
        <v>29</v>
      </c>
      <c r="C12" s="7">
        <v>650322.0</v>
      </c>
      <c r="D12" s="7">
        <v>39.4459</v>
      </c>
      <c r="E12" s="7">
        <f>IFERROR(__xludf.DUMMYFUNCTION("IF(B12=""PASS"", RANK.EQ(C12, FILTER($C$2:$C$142, $B$2:$B$142=""PASS""), 1) + COUNTIFS($C$2:$C$142, C12, $D$2:$D$142, ""&lt;""&amp;D12, $B$2:$B$142, ""PASS""), """")"),10.0)</f>
        <v>10</v>
      </c>
      <c r="F12" s="8">
        <f t="shared" si="1"/>
        <v>19.65116279</v>
      </c>
      <c r="G12" s="6" t="s">
        <v>29</v>
      </c>
      <c r="H12" s="7">
        <v>8580081.0</v>
      </c>
      <c r="I12" s="7">
        <v>7.2503</v>
      </c>
      <c r="J12" s="7">
        <f>IFERROR(__xludf.DUMMYFUNCTION("IF(G12=""PASS"", RANK.EQ(H12, FILTER($H$2:$H$142, $G$2:$G$142=""PASS""), 1) + COUNTIFS($H$2:$H$142, H12, $I$2:$I$142, ""&lt;""&amp;I12, $G$2:$G$142, ""PASS""), """")"),115.0)</f>
        <v>115</v>
      </c>
      <c r="K12" s="8">
        <f t="shared" si="2"/>
        <v>15.546875</v>
      </c>
      <c r="L12" s="6" t="s">
        <v>29</v>
      </c>
      <c r="M12" s="7">
        <v>3.1764687E7</v>
      </c>
      <c r="N12" s="7">
        <v>12.5508</v>
      </c>
      <c r="O12" s="7">
        <f>IFERROR(__xludf.DUMMYFUNCTION("IF(L12=""PASS"", RANK.EQ(M12, FILTER($M$2:$M$142, $L$2:$L$142=""PASS""), 1) + COUNTIFS($M$2:$M$142, M12, $N$2:$N$142, ""&lt;""&amp;N12, $L$2:$L$142, ""PASS""), """")"),97.0)</f>
        <v>97</v>
      </c>
      <c r="P12" s="8">
        <f t="shared" si="3"/>
        <v>16.06557377</v>
      </c>
      <c r="Q12" s="6" t="s">
        <v>29</v>
      </c>
      <c r="R12" s="7">
        <v>3.2585438E7</v>
      </c>
      <c r="S12" s="7">
        <v>12.8974</v>
      </c>
      <c r="T12" s="7">
        <f>IFERROR(__xludf.DUMMYFUNCTION("IF(Q12=""PASS"", RANK.EQ(R12, FILTER($R$2:$R$142, $Q$2:$Q$142=""PASS""), 1) + COUNTIFS($R$2:$R$142, R12, $S$2:$S$142, ""&lt;""&amp;S12, $Q$2:$Q$142, ""PASS""), """")"),98.0)</f>
        <v>98</v>
      </c>
      <c r="U12" s="8">
        <f t="shared" si="4"/>
        <v>15.95833333</v>
      </c>
      <c r="V12" s="12" t="s">
        <v>31</v>
      </c>
      <c r="W12" s="13">
        <v>1.31421541E8</v>
      </c>
      <c r="X12" s="13">
        <v>8.6172</v>
      </c>
      <c r="Y12" s="13" t="str">
        <f>IFERROR(__xludf.DUMMYFUNCTION("IF(V12=""PASS"", RANK.EQ(W12, FILTER($W$2:$W$142, $V$2:$V$142=""PASS""), 1) + COUNTIFS($W$2:$W$142, W12, $X$2:$X$142, ""&lt;""&amp;X12, $V$2:$V$142, ""PASS""), """")"),"")</f>
        <v/>
      </c>
      <c r="Z12" s="14">
        <f t="shared" si="5"/>
        <v>15</v>
      </c>
      <c r="AA12" s="10">
        <f t="shared" si="6"/>
        <v>82.22194489</v>
      </c>
      <c r="AB12" s="15" t="b">
        <v>1</v>
      </c>
      <c r="AC12" s="8">
        <f t="shared" si="7"/>
        <v>77.22194489</v>
      </c>
      <c r="AD12" s="7"/>
    </row>
    <row r="13">
      <c r="A13" s="5">
        <v>3.12580066E8</v>
      </c>
      <c r="B13" s="6" t="s">
        <v>29</v>
      </c>
      <c r="C13" s="7">
        <v>1043967.0</v>
      </c>
      <c r="D13" s="7">
        <v>0.4458</v>
      </c>
      <c r="E13" s="7">
        <f>IFERROR(__xludf.DUMMYFUNCTION("IF(B13=""PASS"", RANK.EQ(C13, FILTER($C$2:$C$142, $B$2:$B$142=""PASS""), 1) + COUNTIFS($C$2:$C$142, C13, $D$2:$D$142, ""&lt;""&amp;D13, $B$2:$B$142, ""PASS""), """")"),94.0)</f>
        <v>94</v>
      </c>
      <c r="F13" s="8">
        <f t="shared" si="1"/>
        <v>16.39534884</v>
      </c>
      <c r="G13" s="6" t="s">
        <v>29</v>
      </c>
      <c r="H13" s="7">
        <v>5312761.0</v>
      </c>
      <c r="I13" s="7">
        <v>2.4133</v>
      </c>
      <c r="J13" s="7">
        <f>IFERROR(__xludf.DUMMYFUNCTION("IF(G13=""PASS"", RANK.EQ(H13, FILTER($H$2:$H$142, $G$2:$G$142=""PASS""), 1) + COUNTIFS($H$2:$H$142, H13, $I$2:$I$142, ""&lt;""&amp;I13, $G$2:$G$142, ""PASS""), """")"),91.0)</f>
        <v>91</v>
      </c>
      <c r="K13" s="8">
        <f t="shared" si="2"/>
        <v>16.484375</v>
      </c>
      <c r="L13" s="6" t="s">
        <v>29</v>
      </c>
      <c r="M13" s="7">
        <v>2.2691625E7</v>
      </c>
      <c r="N13" s="7">
        <v>10.9828</v>
      </c>
      <c r="O13" s="7">
        <f>IFERROR(__xludf.DUMMYFUNCTION("IF(L13=""PASS"", RANK.EQ(M13, FILTER($M$2:$M$142, $L$2:$L$142=""PASS""), 1) + COUNTIFS($M$2:$M$142, M13, $N$2:$N$142, ""&lt;""&amp;N13, $L$2:$L$142, ""PASS""), """")"),82.0)</f>
        <v>82</v>
      </c>
      <c r="P13" s="8">
        <f t="shared" si="3"/>
        <v>16.68032787</v>
      </c>
      <c r="Q13" s="6" t="s">
        <v>29</v>
      </c>
      <c r="R13" s="7">
        <v>2.3344171E7</v>
      </c>
      <c r="S13" s="7">
        <v>11.3159</v>
      </c>
      <c r="T13" s="7">
        <f>IFERROR(__xludf.DUMMYFUNCTION("IF(Q13=""PASS"", RANK.EQ(R13, FILTER($R$2:$R$142, $Q$2:$Q$142=""PASS""), 1) + COUNTIFS($R$2:$R$142, R13, $S$2:$S$142, ""&lt;""&amp;S13, $Q$2:$Q$142, ""PASS""), """")"),82.0)</f>
        <v>82</v>
      </c>
      <c r="U13" s="8">
        <f t="shared" si="4"/>
        <v>16.625</v>
      </c>
      <c r="V13" s="6" t="s">
        <v>29</v>
      </c>
      <c r="W13" s="7">
        <v>1.29763269E8</v>
      </c>
      <c r="X13" s="7">
        <v>70.0745</v>
      </c>
      <c r="Y13" s="7">
        <f>IFERROR(__xludf.DUMMYFUNCTION("IF(V13=""PASS"", RANK.EQ(W13, FILTER($W$2:$W$142, $V$2:$V$142=""PASS""), 1) + COUNTIFS($W$2:$W$142, W13, $X$2:$X$142, ""&lt;""&amp;X13, $V$2:$V$142, ""PASS""), """")"),63.0)</f>
        <v>63</v>
      </c>
      <c r="Z13" s="8">
        <f t="shared" si="5"/>
        <v>16.26506024</v>
      </c>
      <c r="AA13" s="10">
        <f t="shared" si="6"/>
        <v>82.45011195</v>
      </c>
      <c r="AB13" s="11" t="b">
        <v>0</v>
      </c>
      <c r="AC13" s="8">
        <f t="shared" si="7"/>
        <v>82.45011195</v>
      </c>
      <c r="AD13" s="7"/>
    </row>
    <row r="14">
      <c r="A14" s="5">
        <v>3.1351002E8</v>
      </c>
      <c r="B14" s="12" t="s">
        <v>31</v>
      </c>
      <c r="C14" s="13">
        <v>785369.0</v>
      </c>
      <c r="D14" s="13">
        <v>1.9978</v>
      </c>
      <c r="E14" s="13" t="str">
        <f>IFERROR(__xludf.DUMMYFUNCTION("IF(B14=""PASS"", RANK.EQ(C14, FILTER($C$2:$C$142, $B$2:$B$142=""PASS""), 1) + COUNTIFS($C$2:$C$142, C14, $D$2:$D$142, ""&lt;""&amp;D14, $B$2:$B$142, ""PASS""), """")"),"")</f>
        <v/>
      </c>
      <c r="F14" s="14">
        <f t="shared" si="1"/>
        <v>15</v>
      </c>
      <c r="G14" s="12" t="s">
        <v>31</v>
      </c>
      <c r="H14" s="13">
        <v>3545452.0</v>
      </c>
      <c r="I14" s="13">
        <v>9.8878</v>
      </c>
      <c r="J14" s="13" t="str">
        <f>IFERROR(__xludf.DUMMYFUNCTION("IF(G14=""PASS"", RANK.EQ(H14, FILTER($H$2:$H$142, $G$2:$G$142=""PASS""), 1) + COUNTIFS($H$2:$H$142, H14, $I$2:$I$142, ""&lt;""&amp;I14, $G$2:$G$142, ""PASS""), """")"),"")</f>
        <v/>
      </c>
      <c r="K14" s="14">
        <f t="shared" si="2"/>
        <v>15</v>
      </c>
      <c r="L14" s="12" t="s">
        <v>31</v>
      </c>
      <c r="M14" s="13">
        <v>1.5267451E7</v>
      </c>
      <c r="N14" s="13">
        <v>43.0835</v>
      </c>
      <c r="O14" s="13" t="str">
        <f>IFERROR(__xludf.DUMMYFUNCTION("IF(L14=""PASS"", RANK.EQ(M14, FILTER($M$2:$M$142, $L$2:$L$142=""PASS""), 1) + COUNTIFS($M$2:$M$142, M14, $N$2:$N$142, ""&lt;""&amp;N14, $L$2:$L$142, ""PASS""), """")"),"")</f>
        <v/>
      </c>
      <c r="P14" s="14">
        <f t="shared" si="3"/>
        <v>15</v>
      </c>
      <c r="Q14" s="12" t="s">
        <v>31</v>
      </c>
      <c r="R14" s="13">
        <v>1.5344538E7</v>
      </c>
      <c r="S14" s="13">
        <v>44.0827</v>
      </c>
      <c r="T14" s="13" t="str">
        <f>IFERROR(__xludf.DUMMYFUNCTION("IF(Q14=""PASS"", RANK.EQ(R14, FILTER($R$2:$R$142, $Q$2:$Q$142=""PASS""), 1) + COUNTIFS($R$2:$R$142, R14, $S$2:$S$142, ""&lt;""&amp;S14, $Q$2:$Q$142, ""PASS""), """")"),"")</f>
        <v/>
      </c>
      <c r="U14" s="14">
        <f t="shared" si="4"/>
        <v>15</v>
      </c>
      <c r="V14" s="6" t="s">
        <v>30</v>
      </c>
      <c r="W14" s="9"/>
      <c r="X14" s="7">
        <v>180.1215</v>
      </c>
      <c r="Y14" s="7" t="str">
        <f>IFERROR(__xludf.DUMMYFUNCTION("IF(V14=""PASS"", RANK.EQ(W14, FILTER($W$2:$W$142, $V$2:$V$142=""PASS""), 1) + COUNTIFS($W$2:$W$142, W14, $X$2:$X$142, ""&lt;""&amp;X14, $V$2:$V$142, ""PASS""), """")"),"")</f>
        <v/>
      </c>
      <c r="Z14" s="8">
        <f t="shared" si="5"/>
        <v>0</v>
      </c>
      <c r="AA14" s="10">
        <f t="shared" si="6"/>
        <v>60</v>
      </c>
      <c r="AB14" s="11" t="b">
        <v>0</v>
      </c>
      <c r="AC14" s="8">
        <f t="shared" si="7"/>
        <v>60</v>
      </c>
      <c r="AD14" s="7"/>
    </row>
    <row r="15">
      <c r="A15" s="5">
        <v>3.13510025E8</v>
      </c>
      <c r="B15" s="6" t="s">
        <v>29</v>
      </c>
      <c r="C15" s="7">
        <v>1235732.0</v>
      </c>
      <c r="D15" s="7">
        <v>16.7327</v>
      </c>
      <c r="E15" s="7">
        <f>IFERROR(__xludf.DUMMYFUNCTION("IF(B15=""PASS"", RANK.EQ(C15, FILTER($C$2:$C$142, $B$2:$B$142=""PASS""), 1) + COUNTIFS($C$2:$C$142, C15, $D$2:$D$142, ""&lt;""&amp;D15, $B$2:$B$142, ""PASS""), """")"),115.0)</f>
        <v>115</v>
      </c>
      <c r="F15" s="8">
        <f t="shared" si="1"/>
        <v>15.58139535</v>
      </c>
      <c r="G15" s="6" t="s">
        <v>29</v>
      </c>
      <c r="H15" s="7">
        <v>8731185.0</v>
      </c>
      <c r="I15" s="7">
        <v>10.2449</v>
      </c>
      <c r="J15" s="7">
        <f>IFERROR(__xludf.DUMMYFUNCTION("IF(G15=""PASS"", RANK.EQ(H15, FILTER($H$2:$H$142, $G$2:$G$142=""PASS""), 1) + COUNTIFS($H$2:$H$142, H15, $I$2:$I$142, ""&lt;""&amp;I15, $G$2:$G$142, ""PASS""), """")"),119.0)</f>
        <v>119</v>
      </c>
      <c r="K15" s="8">
        <f t="shared" si="2"/>
        <v>15.390625</v>
      </c>
      <c r="L15" s="6" t="s">
        <v>29</v>
      </c>
      <c r="M15" s="7">
        <v>3.7445574E7</v>
      </c>
      <c r="N15" s="7">
        <v>0.5081</v>
      </c>
      <c r="O15" s="7">
        <f>IFERROR(__xludf.DUMMYFUNCTION("IF(L15=""PASS"", RANK.EQ(M15, FILTER($M$2:$M$142, $L$2:$L$142=""PASS""), 1) + COUNTIFS($M$2:$M$142, M15, $N$2:$N$142, ""&lt;""&amp;N15, $L$2:$L$142, ""PASS""), """")"),113.0)</f>
        <v>113</v>
      </c>
      <c r="P15" s="8">
        <f t="shared" si="3"/>
        <v>15.40983607</v>
      </c>
      <c r="Q15" s="6" t="s">
        <v>29</v>
      </c>
      <c r="R15" s="7">
        <v>3.866928E7</v>
      </c>
      <c r="S15" s="7">
        <v>0.4763</v>
      </c>
      <c r="T15" s="7">
        <f>IFERROR(__xludf.DUMMYFUNCTION("IF(Q15=""PASS"", RANK.EQ(R15, FILTER($R$2:$R$142, $Q$2:$Q$142=""PASS""), 1) + COUNTIFS($R$2:$R$142, R15, $S$2:$S$142, ""&lt;""&amp;S15, $Q$2:$Q$142, ""PASS""), """")"),112.0)</f>
        <v>112</v>
      </c>
      <c r="U15" s="8">
        <f t="shared" si="4"/>
        <v>15.375</v>
      </c>
      <c r="V15" s="12" t="s">
        <v>31</v>
      </c>
      <c r="W15" s="13">
        <v>1.34216744E8</v>
      </c>
      <c r="X15" s="13">
        <v>10.9762</v>
      </c>
      <c r="Y15" s="13" t="str">
        <f>IFERROR(__xludf.DUMMYFUNCTION("IF(V15=""PASS"", RANK.EQ(W15, FILTER($W$2:$W$142, $V$2:$V$142=""PASS""), 1) + COUNTIFS($W$2:$W$142, W15, $X$2:$X$142, ""&lt;""&amp;X15, $V$2:$V$142, ""PASS""), """")"),"")</f>
        <v/>
      </c>
      <c r="Z15" s="14">
        <f t="shared" si="5"/>
        <v>15</v>
      </c>
      <c r="AA15" s="10">
        <f t="shared" si="6"/>
        <v>76.75685641</v>
      </c>
      <c r="AB15" s="11" t="b">
        <v>0</v>
      </c>
      <c r="AC15" s="8">
        <f t="shared" si="7"/>
        <v>76.75685641</v>
      </c>
      <c r="AD15" s="7"/>
    </row>
    <row r="16">
      <c r="A16" s="5">
        <v>3.13510031E8</v>
      </c>
      <c r="B16" s="6" t="s">
        <v>29</v>
      </c>
      <c r="C16" s="7">
        <v>691522.0</v>
      </c>
      <c r="D16" s="7">
        <v>0.093</v>
      </c>
      <c r="E16" s="7">
        <f>IFERROR(__xludf.DUMMYFUNCTION("IF(B16=""PASS"", RANK.EQ(C16, FILTER($C$2:$C$142, $B$2:$B$142=""PASS""), 1) + COUNTIFS($C$2:$C$142, C16, $D$2:$D$142, ""&lt;""&amp;D16, $B$2:$B$142, ""PASS""), """")"),40.0)</f>
        <v>40</v>
      </c>
      <c r="F16" s="8">
        <f t="shared" si="1"/>
        <v>18.48837209</v>
      </c>
      <c r="G16" s="6" t="s">
        <v>29</v>
      </c>
      <c r="H16" s="7">
        <v>3021060.0</v>
      </c>
      <c r="I16" s="7">
        <v>0.4533</v>
      </c>
      <c r="J16" s="7">
        <f>IFERROR(__xludf.DUMMYFUNCTION("IF(G16=""PASS"", RANK.EQ(H16, FILTER($H$2:$H$142, $G$2:$G$142=""PASS""), 1) + COUNTIFS($H$2:$H$142, H16, $I$2:$I$142, ""&lt;""&amp;I16, $G$2:$G$142, ""PASS""), """")"),38.0)</f>
        <v>38</v>
      </c>
      <c r="K16" s="8">
        <f t="shared" si="2"/>
        <v>18.5546875</v>
      </c>
      <c r="L16" s="6" t="s">
        <v>29</v>
      </c>
      <c r="M16" s="7">
        <v>1.2978882E7</v>
      </c>
      <c r="N16" s="7">
        <v>2.0272</v>
      </c>
      <c r="O16" s="7">
        <f>IFERROR(__xludf.DUMMYFUNCTION("IF(L16=""PASS"", RANK.EQ(M16, FILTER($M$2:$M$142, $L$2:$L$142=""PASS""), 1) + COUNTIFS($M$2:$M$142, M16, $N$2:$N$142, ""&lt;""&amp;N16, $L$2:$L$142, ""PASS""), """")"),30.0)</f>
        <v>30</v>
      </c>
      <c r="P16" s="8">
        <f t="shared" si="3"/>
        <v>18.81147541</v>
      </c>
      <c r="Q16" s="6" t="s">
        <v>29</v>
      </c>
      <c r="R16" s="7">
        <v>1.2986835E7</v>
      </c>
      <c r="S16" s="7">
        <v>2.1021</v>
      </c>
      <c r="T16" s="7">
        <f>IFERROR(__xludf.DUMMYFUNCTION("IF(Q16=""PASS"", RANK.EQ(R16, FILTER($R$2:$R$142, $Q$2:$Q$142=""PASS""), 1) + COUNTIFS($R$2:$R$142, R16, $S$2:$S$142, ""&lt;""&amp;S16, $Q$2:$Q$142, ""PASS""), """")"),31.0)</f>
        <v>31</v>
      </c>
      <c r="U16" s="8">
        <f t="shared" si="4"/>
        <v>18.75</v>
      </c>
      <c r="V16" s="6" t="s">
        <v>29</v>
      </c>
      <c r="W16" s="7">
        <v>1.28625339E8</v>
      </c>
      <c r="X16" s="7">
        <v>7.5716</v>
      </c>
      <c r="Y16" s="7">
        <f>IFERROR(__xludf.DUMMYFUNCTION("IF(V16=""PASS"", RANK.EQ(W16, FILTER($W$2:$W$142, $V$2:$V$142=""PASS""), 1) + COUNTIFS($W$2:$W$142, W16, $X$2:$X$142, ""&lt;""&amp;X16, $V$2:$V$142, ""PASS""), """")"),3.0)</f>
        <v>3</v>
      </c>
      <c r="Z16" s="8">
        <f t="shared" si="5"/>
        <v>19.87951807</v>
      </c>
      <c r="AA16" s="10">
        <f t="shared" si="6"/>
        <v>94.48405308</v>
      </c>
      <c r="AB16" s="11" t="b">
        <v>0</v>
      </c>
      <c r="AC16" s="8">
        <f t="shared" si="7"/>
        <v>94.48405308</v>
      </c>
      <c r="AD16" s="7"/>
    </row>
    <row r="17">
      <c r="A17" s="5">
        <v>3.13510039E8</v>
      </c>
      <c r="B17" s="6" t="s">
        <v>29</v>
      </c>
      <c r="C17" s="7">
        <v>1650307.0</v>
      </c>
      <c r="D17" s="7">
        <v>0.9355</v>
      </c>
      <c r="E17" s="7">
        <f>IFERROR(__xludf.DUMMYFUNCTION("IF(B17=""PASS"", RANK.EQ(C17, FILTER($C$2:$C$142, $B$2:$B$142=""PASS""), 1) + COUNTIFS($C$2:$C$142, C17, $D$2:$D$142, ""&lt;""&amp;D17, $B$2:$B$142, ""PASS""), """")"),122.0)</f>
        <v>122</v>
      </c>
      <c r="F17" s="8">
        <f t="shared" si="1"/>
        <v>15.31007752</v>
      </c>
      <c r="G17" s="6" t="s">
        <v>29</v>
      </c>
      <c r="H17" s="7">
        <v>8730753.0</v>
      </c>
      <c r="I17" s="7">
        <v>4.964</v>
      </c>
      <c r="J17" s="7">
        <f>IFERROR(__xludf.DUMMYFUNCTION("IF(G17=""PASS"", RANK.EQ(H17, FILTER($H$2:$H$142, $G$2:$G$142=""PASS""), 1) + COUNTIFS($H$2:$H$142, H17, $I$2:$I$142, ""&lt;""&amp;I17, $G$2:$G$142, ""PASS""), """")"),118.0)</f>
        <v>118</v>
      </c>
      <c r="K17" s="8">
        <f t="shared" si="2"/>
        <v>15.4296875</v>
      </c>
      <c r="L17" s="6" t="s">
        <v>29</v>
      </c>
      <c r="M17" s="7">
        <v>3.7382556E7</v>
      </c>
      <c r="N17" s="7">
        <v>22.951</v>
      </c>
      <c r="O17" s="7">
        <f>IFERROR(__xludf.DUMMYFUNCTION("IF(L17=""PASS"", RANK.EQ(M17, FILTER($M$2:$M$142, $L$2:$L$142=""PASS""), 1) + COUNTIFS($M$2:$M$142, M17, $N$2:$N$142, ""&lt;""&amp;N17, $L$2:$L$142, ""PASS""), """")"),109.0)</f>
        <v>109</v>
      </c>
      <c r="P17" s="8">
        <f t="shared" si="3"/>
        <v>15.57377049</v>
      </c>
      <c r="Q17" s="6" t="s">
        <v>29</v>
      </c>
      <c r="R17" s="7">
        <v>3.8601353E7</v>
      </c>
      <c r="S17" s="7">
        <v>22.202</v>
      </c>
      <c r="T17" s="7">
        <f>IFERROR(__xludf.DUMMYFUNCTION("IF(Q17=""PASS"", RANK.EQ(R17, FILTER($R$2:$R$142, $Q$2:$Q$142=""PASS""), 1) + COUNTIFS($R$2:$R$142, R17, $S$2:$S$142, ""&lt;""&amp;S17, $Q$2:$Q$142, ""PASS""), """")"),108.0)</f>
        <v>108</v>
      </c>
      <c r="U17" s="8">
        <f t="shared" si="4"/>
        <v>15.54166667</v>
      </c>
      <c r="V17" s="6" t="s">
        <v>29</v>
      </c>
      <c r="W17" s="7">
        <v>1.34216944E8</v>
      </c>
      <c r="X17" s="7">
        <v>59.276</v>
      </c>
      <c r="Y17" s="7">
        <f>IFERROR(__xludf.DUMMYFUNCTION("IF(V17=""PASS"", RANK.EQ(W17, FILTER($W$2:$W$142, $V$2:$V$142=""PASS""), 1) + COUNTIFS($W$2:$W$142, W17, $X$2:$X$142, ""&lt;""&amp;X17, $V$2:$V$142, ""PASS""), """")"),75.0)</f>
        <v>75</v>
      </c>
      <c r="Z17" s="8">
        <f t="shared" si="5"/>
        <v>15.54216867</v>
      </c>
      <c r="AA17" s="10">
        <f t="shared" si="6"/>
        <v>77.39737085</v>
      </c>
      <c r="AB17" s="11" t="b">
        <v>0</v>
      </c>
      <c r="AC17" s="8">
        <f t="shared" si="7"/>
        <v>77.39737085</v>
      </c>
      <c r="AD17" s="7"/>
    </row>
    <row r="18">
      <c r="A18" s="5">
        <v>3.13510137E8</v>
      </c>
      <c r="B18" s="6" t="s">
        <v>29</v>
      </c>
      <c r="C18" s="7">
        <v>1098090.0</v>
      </c>
      <c r="D18" s="7">
        <v>89.2598</v>
      </c>
      <c r="E18" s="7">
        <f>IFERROR(__xludf.DUMMYFUNCTION("IF(B18=""PASS"", RANK.EQ(C18, FILTER($C$2:$C$142, $B$2:$B$142=""PASS""), 1) + COUNTIFS($C$2:$C$142, C18, $D$2:$D$142, ""&lt;""&amp;D18, $B$2:$B$142, ""PASS""), """")"),105.0)</f>
        <v>105</v>
      </c>
      <c r="F18" s="8">
        <f t="shared" si="1"/>
        <v>15.96899225</v>
      </c>
      <c r="G18" s="6" t="s">
        <v>29</v>
      </c>
      <c r="H18" s="7">
        <v>5278272.0</v>
      </c>
      <c r="I18" s="7">
        <v>124.7785</v>
      </c>
      <c r="J18" s="7">
        <f>IFERROR(__xludf.DUMMYFUNCTION("IF(G18=""PASS"", RANK.EQ(H18, FILTER($H$2:$H$142, $G$2:$G$142=""PASS""), 1) + COUNTIFS($H$2:$H$142, H18, $I$2:$I$142, ""&lt;""&amp;I18, $G$2:$G$142, ""PASS""), """")"),90.0)</f>
        <v>90</v>
      </c>
      <c r="K18" s="8">
        <f t="shared" si="2"/>
        <v>16.5234375</v>
      </c>
      <c r="L18" s="6" t="s">
        <v>29</v>
      </c>
      <c r="M18" s="7">
        <v>3.1130827E7</v>
      </c>
      <c r="N18" s="7">
        <v>168.1498</v>
      </c>
      <c r="O18" s="7">
        <f>IFERROR(__xludf.DUMMYFUNCTION("IF(L18=""PASS"", RANK.EQ(M18, FILTER($M$2:$M$142, $L$2:$L$142=""PASS""), 1) + COUNTIFS($M$2:$M$142, M18, $N$2:$N$142, ""&lt;""&amp;N18, $L$2:$L$142, ""PASS""), """")"),96.0)</f>
        <v>96</v>
      </c>
      <c r="P18" s="8">
        <f t="shared" si="3"/>
        <v>16.10655738</v>
      </c>
      <c r="Q18" s="6" t="s">
        <v>29</v>
      </c>
      <c r="R18" s="7">
        <v>3.2066581E7</v>
      </c>
      <c r="S18" s="7">
        <v>168.1845</v>
      </c>
      <c r="T18" s="7">
        <f>IFERROR(__xludf.DUMMYFUNCTION("IF(Q18=""PASS"", RANK.EQ(R18, FILTER($R$2:$R$142, $Q$2:$Q$142=""PASS""), 1) + COUNTIFS($R$2:$R$142, R18, $S$2:$S$142, ""&lt;""&amp;S18, $Q$2:$Q$142, ""PASS""), """")"),96.0)</f>
        <v>96</v>
      </c>
      <c r="U18" s="8">
        <f t="shared" si="4"/>
        <v>16.04166667</v>
      </c>
      <c r="V18" s="6" t="s">
        <v>31</v>
      </c>
      <c r="W18" s="7">
        <v>1.33167228E8</v>
      </c>
      <c r="X18" s="7">
        <v>117.8507</v>
      </c>
      <c r="Y18" s="7" t="str">
        <f>IFERROR(__xludf.DUMMYFUNCTION("IF(V18=""PASS"", RANK.EQ(W18, FILTER($W$2:$W$142, $V$2:$V$142=""PASS""), 1) + COUNTIFS($W$2:$W$142, W18, $X$2:$X$142, ""&lt;""&amp;X18, $V$2:$V$142, ""PASS""), """")"),"")</f>
        <v/>
      </c>
      <c r="Z18" s="8">
        <f t="shared" si="5"/>
        <v>15</v>
      </c>
      <c r="AA18" s="10">
        <f t="shared" si="6"/>
        <v>79.64065379</v>
      </c>
      <c r="AB18" s="15" t="b">
        <v>1</v>
      </c>
      <c r="AC18" s="8">
        <f t="shared" si="7"/>
        <v>74.64065379</v>
      </c>
      <c r="AD18" s="7"/>
    </row>
    <row r="19">
      <c r="A19" s="5">
        <v>3.13510141E8</v>
      </c>
      <c r="B19" s="6" t="s">
        <v>29</v>
      </c>
      <c r="C19" s="7">
        <v>687849.0</v>
      </c>
      <c r="D19" s="7">
        <v>0.6441</v>
      </c>
      <c r="E19" s="7">
        <f>IFERROR(__xludf.DUMMYFUNCTION("IF(B19=""PASS"", RANK.EQ(C19, FILTER($C$2:$C$142, $B$2:$B$142=""PASS""), 1) + COUNTIFS($C$2:$C$142, C19, $D$2:$D$142, ""&lt;""&amp;D19, $B$2:$B$142, ""PASS""), """")"),29.0)</f>
        <v>29</v>
      </c>
      <c r="F19" s="8">
        <f t="shared" si="1"/>
        <v>18.91472868</v>
      </c>
      <c r="G19" s="6" t="s">
        <v>29</v>
      </c>
      <c r="H19" s="7">
        <v>3003387.0</v>
      </c>
      <c r="I19" s="7">
        <v>3.971</v>
      </c>
      <c r="J19" s="7">
        <f>IFERROR(__xludf.DUMMYFUNCTION("IF(G19=""PASS"", RANK.EQ(H19, FILTER($H$2:$H$142, $G$2:$G$142=""PASS""), 1) + COUNTIFS($H$2:$H$142, H19, $I$2:$I$142, ""&lt;""&amp;I19, $G$2:$G$142, ""PASS""), """")"),30.0)</f>
        <v>30</v>
      </c>
      <c r="K19" s="8">
        <f t="shared" si="2"/>
        <v>18.8671875</v>
      </c>
      <c r="L19" s="6" t="s">
        <v>29</v>
      </c>
      <c r="M19" s="7">
        <v>1.2885677E7</v>
      </c>
      <c r="N19" s="7">
        <v>17.4969</v>
      </c>
      <c r="O19" s="7">
        <f>IFERROR(__xludf.DUMMYFUNCTION("IF(L19=""PASS"", RANK.EQ(M19, FILTER($M$2:$M$142, $L$2:$L$142=""PASS""), 1) + COUNTIFS($M$2:$M$142, M19, $N$2:$N$142, ""&lt;""&amp;N19, $L$2:$L$142, ""PASS""), """")"),21.0)</f>
        <v>21</v>
      </c>
      <c r="P19" s="8">
        <f t="shared" si="3"/>
        <v>19.18032787</v>
      </c>
      <c r="Q19" s="6" t="s">
        <v>29</v>
      </c>
      <c r="R19" s="7">
        <v>1.2894322E7</v>
      </c>
      <c r="S19" s="7">
        <v>18.4093</v>
      </c>
      <c r="T19" s="7">
        <f>IFERROR(__xludf.DUMMYFUNCTION("IF(Q19=""PASS"", RANK.EQ(R19, FILTER($R$2:$R$142, $Q$2:$Q$142=""PASS""), 1) + COUNTIFS($R$2:$R$142, R19, $S$2:$S$142, ""&lt;""&amp;S19, $Q$2:$Q$142, ""PASS""), """")"),22.0)</f>
        <v>22</v>
      </c>
      <c r="U19" s="8">
        <f t="shared" si="4"/>
        <v>19.125</v>
      </c>
      <c r="V19" s="6" t="s">
        <v>29</v>
      </c>
      <c r="W19" s="7">
        <v>1.28630799E8</v>
      </c>
      <c r="X19" s="7">
        <v>21.2753</v>
      </c>
      <c r="Y19" s="7">
        <f>IFERROR(__xludf.DUMMYFUNCTION("IF(V19=""PASS"", RANK.EQ(W19, FILTER($W$2:$W$142, $V$2:$V$142=""PASS""), 1) + COUNTIFS($W$2:$W$142, W19, $X$2:$X$142, ""&lt;""&amp;X19, $V$2:$V$142, ""PASS""), """")"),61.0)</f>
        <v>61</v>
      </c>
      <c r="Z19" s="8">
        <f t="shared" si="5"/>
        <v>16.38554217</v>
      </c>
      <c r="AA19" s="10">
        <f t="shared" si="6"/>
        <v>92.47278622</v>
      </c>
      <c r="AB19" s="11" t="b">
        <v>0</v>
      </c>
      <c r="AC19" s="8">
        <f t="shared" si="7"/>
        <v>92.47278622</v>
      </c>
      <c r="AD19" s="7"/>
    </row>
    <row r="20">
      <c r="A20" s="5">
        <v>3.13510149E8</v>
      </c>
      <c r="B20" s="6" t="s">
        <v>29</v>
      </c>
      <c r="C20" s="7">
        <v>1686058.0</v>
      </c>
      <c r="D20" s="7">
        <v>0.9508</v>
      </c>
      <c r="E20" s="7">
        <f>IFERROR(__xludf.DUMMYFUNCTION("IF(B20=""PASS"", RANK.EQ(C20, FILTER($C$2:$C$142, $B$2:$B$142=""PASS""), 1) + COUNTIFS($C$2:$C$142, C20, $D$2:$D$142, ""&lt;""&amp;D20, $B$2:$B$142, ""PASS""), """")"),129.0)</f>
        <v>129</v>
      </c>
      <c r="F20" s="8">
        <f t="shared" si="1"/>
        <v>15.03875969</v>
      </c>
      <c r="G20" s="6" t="s">
        <v>29</v>
      </c>
      <c r="H20" s="7">
        <v>8790298.0</v>
      </c>
      <c r="I20" s="7">
        <v>3.8911</v>
      </c>
      <c r="J20" s="7">
        <f>IFERROR(__xludf.DUMMYFUNCTION("IF(G20=""PASS"", RANK.EQ(H20, FILTER($H$2:$H$142, $G$2:$G$142=""PASS""), 1) + COUNTIFS($H$2:$H$142, H20, $I$2:$I$142, ""&lt;""&amp;I20, $G$2:$G$142, ""PASS""), """")"),128.0)</f>
        <v>128</v>
      </c>
      <c r="K20" s="8">
        <f t="shared" si="2"/>
        <v>15.0390625</v>
      </c>
      <c r="L20" s="6" t="s">
        <v>29</v>
      </c>
      <c r="M20" s="7">
        <v>3.744985E7</v>
      </c>
      <c r="N20" s="7">
        <v>18.5689</v>
      </c>
      <c r="O20" s="7">
        <f>IFERROR(__xludf.DUMMYFUNCTION("IF(L20=""PASS"", RANK.EQ(M20, FILTER($M$2:$M$142, $L$2:$L$142=""PASS""), 1) + COUNTIFS($M$2:$M$142, M20, $N$2:$N$142, ""&lt;""&amp;N20, $L$2:$L$142, ""PASS""), """")"),122.0)</f>
        <v>122</v>
      </c>
      <c r="P20" s="8">
        <f t="shared" si="3"/>
        <v>15.04098361</v>
      </c>
      <c r="Q20" s="6" t="s">
        <v>29</v>
      </c>
      <c r="R20" s="7">
        <v>3.8672698E7</v>
      </c>
      <c r="S20" s="7">
        <v>20.3189</v>
      </c>
      <c r="T20" s="7">
        <f>IFERROR(__xludf.DUMMYFUNCTION("IF(Q20=""PASS"", RANK.EQ(R20, FILTER($R$2:$R$142, $Q$2:$Q$142=""PASS""), 1) + COUNTIFS($R$2:$R$142, R20, $S$2:$S$142, ""&lt;""&amp;S20, $Q$2:$Q$142, ""PASS""), """")"),120.0)</f>
        <v>120</v>
      </c>
      <c r="U20" s="8">
        <f t="shared" si="4"/>
        <v>15.04166667</v>
      </c>
      <c r="V20" s="6" t="s">
        <v>29</v>
      </c>
      <c r="W20" s="7">
        <v>1.34217742E8</v>
      </c>
      <c r="X20" s="7">
        <v>58.9396</v>
      </c>
      <c r="Y20" s="7">
        <f>IFERROR(__xludf.DUMMYFUNCTION("IF(V20=""PASS"", RANK.EQ(W20, FILTER($W$2:$W$142, $V$2:$V$142=""PASS""), 1) + COUNTIFS($W$2:$W$142, W20, $X$2:$X$142, ""&lt;""&amp;X20, $V$2:$V$142, ""PASS""), """")"),77.0)</f>
        <v>77</v>
      </c>
      <c r="Z20" s="8">
        <f t="shared" si="5"/>
        <v>15.42168675</v>
      </c>
      <c r="AA20" s="10">
        <f t="shared" si="6"/>
        <v>75.58215921</v>
      </c>
      <c r="AB20" s="11" t="b">
        <v>0</v>
      </c>
      <c r="AC20" s="8">
        <f t="shared" si="7"/>
        <v>75.58215921</v>
      </c>
      <c r="AD20" s="7"/>
    </row>
    <row r="21">
      <c r="A21" s="5">
        <v>3.13510155E8</v>
      </c>
      <c r="B21" s="6" t="s">
        <v>29</v>
      </c>
      <c r="C21" s="7">
        <v>630606.0</v>
      </c>
      <c r="D21" s="7">
        <v>19.0456</v>
      </c>
      <c r="E21" s="7">
        <f>IFERROR(__xludf.DUMMYFUNCTION("IF(B21=""PASS"", RANK.EQ(C21, FILTER($C$2:$C$142, $B$2:$B$142=""PASS""), 1) + COUNTIFS($C$2:$C$142, C21, $D$2:$D$142, ""&lt;""&amp;D21, $B$2:$B$142, ""PASS""), """")"),8.0)</f>
        <v>8</v>
      </c>
      <c r="F21" s="8">
        <f t="shared" si="1"/>
        <v>19.72868217</v>
      </c>
      <c r="G21" s="6" t="s">
        <v>29</v>
      </c>
      <c r="H21" s="7">
        <v>2653444.0</v>
      </c>
      <c r="I21" s="7">
        <v>66.1054</v>
      </c>
      <c r="J21" s="7">
        <f>IFERROR(__xludf.DUMMYFUNCTION("IF(G21=""PASS"", RANK.EQ(H21, FILTER($H$2:$H$142, $G$2:$G$142=""PASS""), 1) + COUNTIFS($H$2:$H$142, H21, $I$2:$I$142, ""&lt;""&amp;I21, $G$2:$G$142, ""PASS""), """")"),8.0)</f>
        <v>8</v>
      </c>
      <c r="K21" s="8">
        <f t="shared" si="2"/>
        <v>19.7265625</v>
      </c>
      <c r="L21" s="12" t="s">
        <v>31</v>
      </c>
      <c r="M21" s="13">
        <v>1.7605327E7</v>
      </c>
      <c r="N21" s="13">
        <v>79.4887</v>
      </c>
      <c r="O21" s="13" t="str">
        <f>IFERROR(__xludf.DUMMYFUNCTION("IF(L21=""PASS"", RANK.EQ(M21, FILTER($M$2:$M$142, $L$2:$L$142=""PASS""), 1) + COUNTIFS($M$2:$M$142, M21, $N$2:$N$142, ""&lt;""&amp;N21, $L$2:$L$142, ""PASS""), """")"),"")</f>
        <v/>
      </c>
      <c r="P21" s="14">
        <f t="shared" si="3"/>
        <v>15</v>
      </c>
      <c r="Q21" s="12" t="s">
        <v>31</v>
      </c>
      <c r="R21" s="13">
        <v>1.7896745E7</v>
      </c>
      <c r="S21" s="13">
        <v>83.572</v>
      </c>
      <c r="T21" s="13" t="str">
        <f>IFERROR(__xludf.DUMMYFUNCTION("IF(Q21=""PASS"", RANK.EQ(R21, FILTER($R$2:$R$142, $Q$2:$Q$142=""PASS""), 1) + COUNTIFS($R$2:$R$142, R21, $S$2:$S$142, ""&lt;""&amp;S21, $Q$2:$Q$142, ""PASS""), """")"),"")</f>
        <v/>
      </c>
      <c r="U21" s="14">
        <f t="shared" si="4"/>
        <v>15</v>
      </c>
      <c r="V21" s="12" t="s">
        <v>31</v>
      </c>
      <c r="W21" s="13">
        <v>1.34167744E8</v>
      </c>
      <c r="X21" s="13">
        <v>58.1771</v>
      </c>
      <c r="Y21" s="13" t="str">
        <f>IFERROR(__xludf.DUMMYFUNCTION("IF(V21=""PASS"", RANK.EQ(W21, FILTER($W$2:$W$142, $V$2:$V$142=""PASS""), 1) + COUNTIFS($W$2:$W$142, W21, $X$2:$X$142, ""&lt;""&amp;X21, $V$2:$V$142, ""PASS""), """")"),"")</f>
        <v/>
      </c>
      <c r="Z21" s="14">
        <f t="shared" si="5"/>
        <v>15</v>
      </c>
      <c r="AA21" s="10">
        <f t="shared" si="6"/>
        <v>84.45524467</v>
      </c>
      <c r="AB21" s="11" t="b">
        <v>0</v>
      </c>
      <c r="AC21" s="8">
        <f t="shared" si="7"/>
        <v>84.45524467</v>
      </c>
      <c r="AD21" s="7"/>
    </row>
    <row r="22">
      <c r="A22" s="5">
        <v>3.13510157E8</v>
      </c>
      <c r="B22" s="6" t="s">
        <v>29</v>
      </c>
      <c r="C22" s="7">
        <v>1686035.0</v>
      </c>
      <c r="D22" s="7">
        <v>175.2509</v>
      </c>
      <c r="E22" s="7">
        <f>IFERROR(__xludf.DUMMYFUNCTION("IF(B22=""PASS"", RANK.EQ(C22, FILTER($C$2:$C$142, $B$2:$B$142=""PASS""), 1) + COUNTIFS($C$2:$C$142, C22, $D$2:$D$142, ""&lt;""&amp;D22, $B$2:$B$142, ""PASS""), """")"),126.0)</f>
        <v>126</v>
      </c>
      <c r="F22" s="8">
        <f t="shared" si="1"/>
        <v>15.15503876</v>
      </c>
      <c r="G22" s="6" t="s">
        <v>29</v>
      </c>
      <c r="H22" s="7">
        <v>8790269.0</v>
      </c>
      <c r="I22" s="7">
        <v>175.672</v>
      </c>
      <c r="J22" s="7">
        <f>IFERROR(__xludf.DUMMYFUNCTION("IF(G22=""PASS"", RANK.EQ(H22, FILTER($H$2:$H$142, $G$2:$G$142=""PASS""), 1) + COUNTIFS($H$2:$H$142, H22, $I$2:$I$142, ""&lt;""&amp;I22, $G$2:$G$142, ""PASS""), """")"),125.0)</f>
        <v>125</v>
      </c>
      <c r="K22" s="8">
        <f t="shared" si="2"/>
        <v>15.15625</v>
      </c>
      <c r="L22" s="6" t="s">
        <v>29</v>
      </c>
      <c r="M22" s="7">
        <v>3.7449828E7</v>
      </c>
      <c r="N22" s="7">
        <v>177.2599</v>
      </c>
      <c r="O22" s="7">
        <f>IFERROR(__xludf.DUMMYFUNCTION("IF(L22=""PASS"", RANK.EQ(M22, FILTER($M$2:$M$142, $L$2:$L$142=""PASS""), 1) + COUNTIFS($M$2:$M$142, M22, $N$2:$N$142, ""&lt;""&amp;N22, $L$2:$L$142, ""PASS""), """")"),118.0)</f>
        <v>118</v>
      </c>
      <c r="P22" s="8">
        <f t="shared" si="3"/>
        <v>15.20491803</v>
      </c>
      <c r="Q22" s="6" t="s">
        <v>29</v>
      </c>
      <c r="R22" s="7">
        <v>3.8672667E7</v>
      </c>
      <c r="S22" s="7">
        <v>177.3154</v>
      </c>
      <c r="T22" s="7">
        <f>IFERROR(__xludf.DUMMYFUNCTION("IF(Q22=""PASS"", RANK.EQ(R22, FILTER($R$2:$R$142, $Q$2:$Q$142=""PASS""), 1) + COUNTIFS($R$2:$R$142, R22, $S$2:$S$142, ""&lt;""&amp;S22, $Q$2:$Q$142, ""PASS""), """")"),117.0)</f>
        <v>117</v>
      </c>
      <c r="U22" s="8">
        <f t="shared" si="4"/>
        <v>15.16666667</v>
      </c>
      <c r="V22" s="12" t="s">
        <v>31</v>
      </c>
      <c r="W22" s="13">
        <v>1.34217743E8</v>
      </c>
      <c r="X22" s="13">
        <v>126.5727</v>
      </c>
      <c r="Y22" s="13" t="str">
        <f>IFERROR(__xludf.DUMMYFUNCTION("IF(V22=""PASS"", RANK.EQ(W22, FILTER($W$2:$W$142, $V$2:$V$142=""PASS""), 1) + COUNTIFS($W$2:$W$142, W22, $X$2:$X$142, ""&lt;""&amp;X22, $V$2:$V$142, ""PASS""), """")"),"")</f>
        <v/>
      </c>
      <c r="Z22" s="14">
        <f t="shared" si="5"/>
        <v>15</v>
      </c>
      <c r="AA22" s="10">
        <f t="shared" si="6"/>
        <v>75.68287346</v>
      </c>
      <c r="AB22" s="11" t="b">
        <v>0</v>
      </c>
      <c r="AC22" s="8">
        <f t="shared" si="7"/>
        <v>75.68287346</v>
      </c>
      <c r="AD22" s="7"/>
    </row>
    <row r="23">
      <c r="A23" s="5">
        <v>3.13510158E8</v>
      </c>
      <c r="B23" s="6" t="s">
        <v>29</v>
      </c>
      <c r="C23" s="7">
        <v>626870.0</v>
      </c>
      <c r="D23" s="7">
        <v>0.1813</v>
      </c>
      <c r="E23" s="7">
        <f>IFERROR(__xludf.DUMMYFUNCTION("IF(B23=""PASS"", RANK.EQ(C23, FILTER($C$2:$C$142, $B$2:$B$142=""PASS""), 1) + COUNTIFS($C$2:$C$142, C23, $D$2:$D$142, ""&lt;""&amp;D23, $B$2:$B$142, ""PASS""), """")"),7.0)</f>
        <v>7</v>
      </c>
      <c r="F23" s="8">
        <f t="shared" si="1"/>
        <v>19.76744186</v>
      </c>
      <c r="G23" s="6" t="s">
        <v>29</v>
      </c>
      <c r="H23" s="7">
        <v>2632564.0</v>
      </c>
      <c r="I23" s="7">
        <v>0.9319</v>
      </c>
      <c r="J23" s="7">
        <f>IFERROR(__xludf.DUMMYFUNCTION("IF(G23=""PASS"", RANK.EQ(H23, FILTER($H$2:$H$142, $G$2:$G$142=""PASS""), 1) + COUNTIFS($H$2:$H$142, H23, $I$2:$I$142, ""&lt;""&amp;I23, $G$2:$G$142, ""PASS""), """")"),7.0)</f>
        <v>7</v>
      </c>
      <c r="K23" s="8">
        <f t="shared" si="2"/>
        <v>19.765625</v>
      </c>
      <c r="L23" s="6" t="s">
        <v>29</v>
      </c>
      <c r="M23" s="7">
        <v>1.120123E7</v>
      </c>
      <c r="N23" s="7">
        <v>3.9082</v>
      </c>
      <c r="O23" s="7">
        <f>IFERROR(__xludf.DUMMYFUNCTION("IF(L23=""PASS"", RANK.EQ(M23, FILTER($M$2:$M$142, $L$2:$L$142=""PASS""), 1) + COUNTIFS($M$2:$M$142, M23, $N$2:$N$142, ""&lt;""&amp;N23, $L$2:$L$142, ""PASS""), """")"),6.0)</f>
        <v>6</v>
      </c>
      <c r="P23" s="8">
        <f t="shared" si="3"/>
        <v>19.79508197</v>
      </c>
      <c r="Q23" s="6" t="s">
        <v>29</v>
      </c>
      <c r="R23" s="7">
        <v>1.1147221E7</v>
      </c>
      <c r="S23" s="7">
        <v>4.0469</v>
      </c>
      <c r="T23" s="7">
        <f>IFERROR(__xludf.DUMMYFUNCTION("IF(Q23=""PASS"", RANK.EQ(R23, FILTER($R$2:$R$142, $Q$2:$Q$142=""PASS""), 1) + COUNTIFS($R$2:$R$142, R23, $S$2:$S$142, ""&lt;""&amp;S23, $Q$2:$Q$142, ""PASS""), """")"),6.0)</f>
        <v>6</v>
      </c>
      <c r="U23" s="8">
        <f t="shared" si="4"/>
        <v>19.79166667</v>
      </c>
      <c r="V23" s="6" t="s">
        <v>29</v>
      </c>
      <c r="W23" s="7">
        <v>1.28625339E8</v>
      </c>
      <c r="X23" s="7">
        <v>22.3388</v>
      </c>
      <c r="Y23" s="7">
        <f>IFERROR(__xludf.DUMMYFUNCTION("IF(V23=""PASS"", RANK.EQ(W23, FILTER($W$2:$W$142, $V$2:$V$142=""PASS""), 1) + COUNTIFS($W$2:$W$142, W23, $X$2:$X$142, ""&lt;""&amp;X23, $V$2:$V$142, ""PASS""), """")"),15.0)</f>
        <v>15</v>
      </c>
      <c r="Z23" s="8">
        <f t="shared" si="5"/>
        <v>19.15662651</v>
      </c>
      <c r="AA23" s="10">
        <f t="shared" si="6"/>
        <v>98.276442</v>
      </c>
      <c r="AB23" s="11" t="b">
        <v>0</v>
      </c>
      <c r="AC23" s="8">
        <f t="shared" si="7"/>
        <v>98.276442</v>
      </c>
      <c r="AD23" s="7"/>
    </row>
    <row r="24">
      <c r="A24" s="5">
        <v>3.13510166E8</v>
      </c>
      <c r="B24" s="6" t="s">
        <v>29</v>
      </c>
      <c r="C24" s="7">
        <v>679297.0</v>
      </c>
      <c r="D24" s="7">
        <v>6.3401</v>
      </c>
      <c r="E24" s="7">
        <f>IFERROR(__xludf.DUMMYFUNCTION("IF(B24=""PASS"", RANK.EQ(C24, FILTER($C$2:$C$142, $B$2:$B$142=""PASS""), 1) + COUNTIFS($C$2:$C$142, C24, $D$2:$D$142, ""&lt;""&amp;D24, $B$2:$B$142, ""PASS""), """")"),27.0)</f>
        <v>27</v>
      </c>
      <c r="F24" s="8">
        <f t="shared" si="1"/>
        <v>18.99224806</v>
      </c>
      <c r="G24" s="6" t="s">
        <v>29</v>
      </c>
      <c r="H24" s="7">
        <v>2963454.0</v>
      </c>
      <c r="I24" s="7">
        <v>101.8185</v>
      </c>
      <c r="J24" s="7">
        <f>IFERROR(__xludf.DUMMYFUNCTION("IF(G24=""PASS"", RANK.EQ(H24, FILTER($H$2:$H$142, $G$2:$G$142=""PASS""), 1) + COUNTIFS($H$2:$H$142, H24, $I$2:$I$142, ""&lt;""&amp;I24, $G$2:$G$142, ""PASS""), """")"),25.0)</f>
        <v>25</v>
      </c>
      <c r="K24" s="8">
        <f t="shared" si="2"/>
        <v>19.0625</v>
      </c>
      <c r="L24" s="6" t="s">
        <v>29</v>
      </c>
      <c r="M24" s="7">
        <v>1.2943227E7</v>
      </c>
      <c r="N24" s="7">
        <v>8.8069</v>
      </c>
      <c r="O24" s="7">
        <f>IFERROR(__xludf.DUMMYFUNCTION("IF(L24=""PASS"", RANK.EQ(M24, FILTER($M$2:$M$142, $L$2:$L$142=""PASS""), 1) + COUNTIFS($M$2:$M$142, M24, $N$2:$N$142, ""&lt;""&amp;N24, $L$2:$L$142, ""PASS""), """")"),23.0)</f>
        <v>23</v>
      </c>
      <c r="P24" s="8">
        <f t="shared" si="3"/>
        <v>19.09836066</v>
      </c>
      <c r="Q24" s="6" t="s">
        <v>29</v>
      </c>
      <c r="R24" s="7">
        <v>1.2957786E7</v>
      </c>
      <c r="S24" s="7">
        <v>9.0768</v>
      </c>
      <c r="T24" s="7">
        <f>IFERROR(__xludf.DUMMYFUNCTION("IF(Q24=""PASS"", RANK.EQ(R24, FILTER($R$2:$R$142, $Q$2:$Q$142=""PASS""), 1) + COUNTIFS($R$2:$R$142, R24, $S$2:$S$142, ""&lt;""&amp;S24, $Q$2:$Q$142, ""PASS""), """")"),23.0)</f>
        <v>23</v>
      </c>
      <c r="U24" s="8">
        <f t="shared" si="4"/>
        <v>19.08333333</v>
      </c>
      <c r="V24" s="6" t="s">
        <v>29</v>
      </c>
      <c r="W24" s="7">
        <v>1.28625339E8</v>
      </c>
      <c r="X24" s="7">
        <v>16.7579</v>
      </c>
      <c r="Y24" s="7">
        <f>IFERROR(__xludf.DUMMYFUNCTION("IF(V24=""PASS"", RANK.EQ(W24, FILTER($W$2:$W$142, $V$2:$V$142=""PASS""), 1) + COUNTIFS($W$2:$W$142, W24, $X$2:$X$142, ""&lt;""&amp;X24, $V$2:$V$142, ""PASS""), """")"),10.0)</f>
        <v>10</v>
      </c>
      <c r="Z24" s="8">
        <f t="shared" si="5"/>
        <v>19.45783133</v>
      </c>
      <c r="AA24" s="10">
        <f t="shared" si="6"/>
        <v>95.69427338</v>
      </c>
      <c r="AB24" s="11" t="b">
        <v>0</v>
      </c>
      <c r="AC24" s="8">
        <f t="shared" si="7"/>
        <v>95.69427338</v>
      </c>
      <c r="AD24" s="7"/>
    </row>
    <row r="25">
      <c r="A25" s="5">
        <v>3.13510168E8</v>
      </c>
      <c r="B25" s="6" t="s">
        <v>29</v>
      </c>
      <c r="C25" s="7">
        <v>1635251.0</v>
      </c>
      <c r="D25" s="7">
        <v>175.1187</v>
      </c>
      <c r="E25" s="7">
        <f>IFERROR(__xludf.DUMMYFUNCTION("IF(B25=""PASS"", RANK.EQ(C25, FILTER($C$2:$C$142, $B$2:$B$142=""PASS""), 1) + COUNTIFS($C$2:$C$142, C25, $D$2:$D$142, ""&lt;""&amp;D25, $B$2:$B$142, ""PASS""), """")"),120.0)</f>
        <v>120</v>
      </c>
      <c r="F25" s="8">
        <f t="shared" si="1"/>
        <v>15.3875969</v>
      </c>
      <c r="G25" s="6" t="s">
        <v>29</v>
      </c>
      <c r="H25" s="7">
        <v>8777261.0</v>
      </c>
      <c r="I25" s="7">
        <v>175.5956</v>
      </c>
      <c r="J25" s="7">
        <f>IFERROR(__xludf.DUMMYFUNCTION("IF(G25=""PASS"", RANK.EQ(H25, FILTER($H$2:$H$142, $G$2:$G$142=""PASS""), 1) + COUNTIFS($H$2:$H$142, H25, $I$2:$I$142, ""&lt;""&amp;I25, $G$2:$G$142, ""PASS""), """")"),121.0)</f>
        <v>121</v>
      </c>
      <c r="K25" s="8">
        <f t="shared" si="2"/>
        <v>15.3125</v>
      </c>
      <c r="L25" s="6" t="s">
        <v>29</v>
      </c>
      <c r="M25" s="7">
        <v>3.7448713E7</v>
      </c>
      <c r="N25" s="7">
        <v>177.5337</v>
      </c>
      <c r="O25" s="7">
        <f>IFERROR(__xludf.DUMMYFUNCTION("IF(L25=""PASS"", RANK.EQ(M25, FILTER($M$2:$M$142, $L$2:$L$142=""PASS""), 1) + COUNTIFS($M$2:$M$142, M25, $N$2:$N$142, ""&lt;""&amp;N25, $L$2:$L$142, ""PASS""), """")"),115.0)</f>
        <v>115</v>
      </c>
      <c r="P25" s="8">
        <f t="shared" si="3"/>
        <v>15.32786885</v>
      </c>
      <c r="Q25" s="6" t="s">
        <v>29</v>
      </c>
      <c r="R25" s="7">
        <v>3.8670862E7</v>
      </c>
      <c r="S25" s="7">
        <v>177.4965</v>
      </c>
      <c r="T25" s="7">
        <f>IFERROR(__xludf.DUMMYFUNCTION("IF(Q25=""PASS"", RANK.EQ(R25, FILTER($R$2:$R$142, $Q$2:$Q$142=""PASS""), 1) + COUNTIFS($R$2:$R$142, R25, $S$2:$S$142, ""&lt;""&amp;S25, $Q$2:$Q$142, ""PASS""), """")"),113.0)</f>
        <v>113</v>
      </c>
      <c r="U25" s="8">
        <f t="shared" si="4"/>
        <v>15.33333333</v>
      </c>
      <c r="V25" s="12" t="s">
        <v>31</v>
      </c>
      <c r="W25" s="13">
        <v>1.34217681E8</v>
      </c>
      <c r="X25" s="13">
        <v>177.6761</v>
      </c>
      <c r="Y25" s="13" t="str">
        <f>IFERROR(__xludf.DUMMYFUNCTION("IF(V25=""PASS"", RANK.EQ(W25, FILTER($W$2:$W$142, $V$2:$V$142=""PASS""), 1) + COUNTIFS($W$2:$W$142, W25, $X$2:$X$142, ""&lt;""&amp;X25, $V$2:$V$142, ""PASS""), """")"),"")</f>
        <v/>
      </c>
      <c r="Z25" s="14">
        <f t="shared" si="5"/>
        <v>15</v>
      </c>
      <c r="AA25" s="10">
        <f t="shared" si="6"/>
        <v>76.36129909</v>
      </c>
      <c r="AB25" s="11" t="b">
        <v>0</v>
      </c>
      <c r="AC25" s="8">
        <f t="shared" si="7"/>
        <v>76.36129909</v>
      </c>
      <c r="AD25" s="7"/>
    </row>
    <row r="26">
      <c r="A26" s="5">
        <v>3.1351017E8</v>
      </c>
      <c r="B26" s="6" t="s">
        <v>29</v>
      </c>
      <c r="C26" s="7">
        <v>1035734.0</v>
      </c>
      <c r="D26" s="7">
        <v>0.9267</v>
      </c>
      <c r="E26" s="7">
        <f>IFERROR(__xludf.DUMMYFUNCTION("IF(B26=""PASS"", RANK.EQ(C26, FILTER($C$2:$C$142, $B$2:$B$142=""PASS""), 1) + COUNTIFS($C$2:$C$142, C26, $D$2:$D$142, ""&lt;""&amp;D26, $B$2:$B$142, ""PASS""), """")"),92.0)</f>
        <v>92</v>
      </c>
      <c r="F26" s="8">
        <f t="shared" si="1"/>
        <v>16.47286822</v>
      </c>
      <c r="G26" s="6" t="s">
        <v>29</v>
      </c>
      <c r="H26" s="7">
        <v>5267625.0</v>
      </c>
      <c r="I26" s="7">
        <v>5.1228</v>
      </c>
      <c r="J26" s="7">
        <f>IFERROR(__xludf.DUMMYFUNCTION("IF(G26=""PASS"", RANK.EQ(H26, FILTER($H$2:$H$142, $G$2:$G$142=""PASS""), 1) + COUNTIFS($H$2:$H$142, H26, $I$2:$I$142, ""&lt;""&amp;I26, $G$2:$G$142, ""PASS""), """")"),89.0)</f>
        <v>89</v>
      </c>
      <c r="K26" s="8">
        <f t="shared" si="2"/>
        <v>16.5625</v>
      </c>
      <c r="L26" s="6" t="s">
        <v>29</v>
      </c>
      <c r="M26" s="7">
        <v>2.2509314E7</v>
      </c>
      <c r="N26" s="7">
        <v>23.2318</v>
      </c>
      <c r="O26" s="7">
        <f>IFERROR(__xludf.DUMMYFUNCTION("IF(L26=""PASS"", RANK.EQ(M26, FILTER($M$2:$M$142, $L$2:$L$142=""PASS""), 1) + COUNTIFS($M$2:$M$142, M26, $N$2:$N$142, ""&lt;""&amp;N26, $L$2:$L$142, ""PASS""), """")"),81.0)</f>
        <v>81</v>
      </c>
      <c r="P26" s="8">
        <f t="shared" si="3"/>
        <v>16.72131148</v>
      </c>
      <c r="Q26" s="6" t="s">
        <v>29</v>
      </c>
      <c r="R26" s="7">
        <v>2.315459E7</v>
      </c>
      <c r="S26" s="7">
        <v>24.0896</v>
      </c>
      <c r="T26" s="7">
        <f>IFERROR(__xludf.DUMMYFUNCTION("IF(Q26=""PASS"", RANK.EQ(R26, FILTER($R$2:$R$142, $Q$2:$Q$142=""PASS""), 1) + COUNTIFS($R$2:$R$142, R26, $S$2:$S$142, ""&lt;""&amp;S26, $Q$2:$Q$142, ""PASS""), """")"),81.0)</f>
        <v>81</v>
      </c>
      <c r="U26" s="8">
        <f t="shared" si="4"/>
        <v>16.66666667</v>
      </c>
      <c r="V26" s="6" t="s">
        <v>29</v>
      </c>
      <c r="W26" s="7">
        <v>1.28625339E8</v>
      </c>
      <c r="X26" s="7">
        <v>116.4097</v>
      </c>
      <c r="Y26" s="7">
        <f>IFERROR(__xludf.DUMMYFUNCTION("IF(V26=""PASS"", RANK.EQ(W26, FILTER($W$2:$W$142, $V$2:$V$142=""PASS""), 1) + COUNTIFS($W$2:$W$142, W26, $X$2:$X$142, ""&lt;""&amp;X26, $V$2:$V$142, ""PASS""), """")"),45.0)</f>
        <v>45</v>
      </c>
      <c r="Z26" s="8">
        <f t="shared" si="5"/>
        <v>17.34939759</v>
      </c>
      <c r="AA26" s="10">
        <f t="shared" si="6"/>
        <v>83.77274395</v>
      </c>
      <c r="AB26" s="11" t="b">
        <v>0</v>
      </c>
      <c r="AC26" s="8">
        <f t="shared" si="7"/>
        <v>83.77274395</v>
      </c>
      <c r="AD26" s="7"/>
    </row>
    <row r="27">
      <c r="A27" s="5">
        <v>3.13510172E8</v>
      </c>
      <c r="B27" s="6" t="s">
        <v>29</v>
      </c>
      <c r="C27" s="7">
        <v>1057227.0</v>
      </c>
      <c r="D27" s="7">
        <v>0.6193</v>
      </c>
      <c r="E27" s="7">
        <f>IFERROR(__xludf.DUMMYFUNCTION("IF(B27=""PASS"", RANK.EQ(C27, FILTER($C$2:$C$142, $B$2:$B$142=""PASS""), 1) + COUNTIFS($C$2:$C$142, C27, $D$2:$D$142, ""&lt;""&amp;D27, $B$2:$B$142, ""PASS""), """")"),102.0)</f>
        <v>102</v>
      </c>
      <c r="F27" s="8">
        <f t="shared" si="1"/>
        <v>16.08527132</v>
      </c>
      <c r="G27" s="6" t="s">
        <v>29</v>
      </c>
      <c r="H27" s="7">
        <v>5438984.0</v>
      </c>
      <c r="I27" s="7">
        <v>10.9431</v>
      </c>
      <c r="J27" s="7">
        <f>IFERROR(__xludf.DUMMYFUNCTION("IF(G27=""PASS"", RANK.EQ(H27, FILTER($H$2:$H$142, $G$2:$G$142=""PASS""), 1) + COUNTIFS($H$2:$H$142, H27, $I$2:$I$142, ""&lt;""&amp;I27, $G$2:$G$142, ""PASS""), """")"),95.0)</f>
        <v>95</v>
      </c>
      <c r="K27" s="8">
        <f t="shared" si="2"/>
        <v>16.328125</v>
      </c>
      <c r="L27" s="6" t="s">
        <v>29</v>
      </c>
      <c r="M27" s="7">
        <v>2.6790157E7</v>
      </c>
      <c r="N27" s="7">
        <v>0.4495</v>
      </c>
      <c r="O27" s="7">
        <f>IFERROR(__xludf.DUMMYFUNCTION("IF(L27=""PASS"", RANK.EQ(M27, FILTER($M$2:$M$142, $L$2:$L$142=""PASS""), 1) + COUNTIFS($M$2:$M$142, M27, $N$2:$N$142, ""&lt;""&amp;N27, $L$2:$L$142, ""PASS""), """")"),91.0)</f>
        <v>91</v>
      </c>
      <c r="P27" s="8">
        <f t="shared" si="3"/>
        <v>16.31147541</v>
      </c>
      <c r="Q27" s="6" t="s">
        <v>29</v>
      </c>
      <c r="R27" s="7">
        <v>2.7524659E7</v>
      </c>
      <c r="S27" s="7">
        <v>0.4639</v>
      </c>
      <c r="T27" s="7">
        <f>IFERROR(__xludf.DUMMYFUNCTION("IF(Q27=""PASS"", RANK.EQ(R27, FILTER($R$2:$R$142, $Q$2:$Q$142=""PASS""), 1) + COUNTIFS($R$2:$R$142, R27, $S$2:$S$142, ""&lt;""&amp;S27, $Q$2:$Q$142, ""PASS""), """")"),91.0)</f>
        <v>91</v>
      </c>
      <c r="U27" s="8">
        <f t="shared" si="4"/>
        <v>16.25</v>
      </c>
      <c r="V27" s="6" t="s">
        <v>29</v>
      </c>
      <c r="W27" s="7">
        <v>1.28625339E8</v>
      </c>
      <c r="X27" s="7">
        <v>1.5814</v>
      </c>
      <c r="Y27" s="7">
        <f>IFERROR(__xludf.DUMMYFUNCTION("IF(V27=""PASS"", RANK.EQ(W27, FILTER($W$2:$W$142, $V$2:$V$142=""PASS""), 1) + COUNTIFS($W$2:$W$142, W27, $X$2:$X$142, ""&lt;""&amp;X27, $V$2:$V$142, ""PASS""), """")"),1.0)</f>
        <v>1</v>
      </c>
      <c r="Z27" s="8">
        <f t="shared" si="5"/>
        <v>20</v>
      </c>
      <c r="AA27" s="10">
        <f t="shared" si="6"/>
        <v>84.97487173</v>
      </c>
      <c r="AB27" s="11" t="b">
        <v>0</v>
      </c>
      <c r="AC27" s="8">
        <f t="shared" si="7"/>
        <v>84.97487173</v>
      </c>
      <c r="AD27" s="7"/>
    </row>
    <row r="28">
      <c r="A28" s="5">
        <v>3.13510175E8</v>
      </c>
      <c r="B28" s="6" t="s">
        <v>29</v>
      </c>
      <c r="C28" s="7">
        <v>1047249.0</v>
      </c>
      <c r="D28" s="7">
        <v>1.3421</v>
      </c>
      <c r="E28" s="7">
        <f>IFERROR(__xludf.DUMMYFUNCTION("IF(B28=""PASS"", RANK.EQ(C28, FILTER($C$2:$C$142, $B$2:$B$142=""PASS""), 1) + COUNTIFS($C$2:$C$142, C28, $D$2:$D$142, ""&lt;""&amp;D28, $B$2:$B$142, ""PASS""), """")"),96.0)</f>
        <v>96</v>
      </c>
      <c r="F28" s="8">
        <f t="shared" si="1"/>
        <v>16.31782946</v>
      </c>
      <c r="G28" s="6" t="s">
        <v>29</v>
      </c>
      <c r="H28" s="7">
        <v>4975442.0</v>
      </c>
      <c r="I28" s="7">
        <v>11.731</v>
      </c>
      <c r="J28" s="7">
        <f>IFERROR(__xludf.DUMMYFUNCTION("IF(G28=""PASS"", RANK.EQ(H28, FILTER($H$2:$H$142, $G$2:$G$142=""PASS""), 1) + COUNTIFS($H$2:$H$142, H28, $I$2:$I$142, ""&lt;""&amp;I28, $G$2:$G$142, ""PASS""), """")"),81.0)</f>
        <v>81</v>
      </c>
      <c r="K28" s="8">
        <f t="shared" si="2"/>
        <v>16.875</v>
      </c>
      <c r="L28" s="6" t="s">
        <v>29</v>
      </c>
      <c r="M28" s="7">
        <v>2.1253025E7</v>
      </c>
      <c r="N28" s="7">
        <v>108.2344</v>
      </c>
      <c r="O28" s="7">
        <f>IFERROR(__xludf.DUMMYFUNCTION("IF(L28=""PASS"", RANK.EQ(M28, FILTER($M$2:$M$142, $L$2:$L$142=""PASS""), 1) + COUNTIFS($M$2:$M$142, M28, $N$2:$N$142, ""&lt;""&amp;N28, $L$2:$L$142, ""PASS""), """")"),73.0)</f>
        <v>73</v>
      </c>
      <c r="P28" s="8">
        <f t="shared" si="3"/>
        <v>17.04918033</v>
      </c>
      <c r="Q28" s="6" t="s">
        <v>29</v>
      </c>
      <c r="R28" s="7">
        <v>2.1628595E7</v>
      </c>
      <c r="S28" s="7">
        <v>113.5219</v>
      </c>
      <c r="T28" s="7">
        <f>IFERROR(__xludf.DUMMYFUNCTION("IF(Q28=""PASS"", RANK.EQ(R28, FILTER($R$2:$R$142, $Q$2:$Q$142=""PASS""), 1) + COUNTIFS($R$2:$R$142, R28, $S$2:$S$142, ""&lt;""&amp;S28, $Q$2:$Q$142, ""PASS""), """")"),73.0)</f>
        <v>73</v>
      </c>
      <c r="U28" s="8">
        <f t="shared" si="4"/>
        <v>17</v>
      </c>
      <c r="V28" s="6" t="s">
        <v>30</v>
      </c>
      <c r="W28" s="9"/>
      <c r="X28" s="7">
        <v>182.9085</v>
      </c>
      <c r="Y28" s="7" t="str">
        <f>IFERROR(__xludf.DUMMYFUNCTION("IF(V28=""PASS"", RANK.EQ(W28, FILTER($W$2:$W$142, $V$2:$V$142=""PASS""), 1) + COUNTIFS($W$2:$W$142, W28, $X$2:$X$142, ""&lt;""&amp;X28, $V$2:$V$142, ""PASS""), """")"),"")</f>
        <v/>
      </c>
      <c r="Z28" s="8">
        <f t="shared" si="5"/>
        <v>0</v>
      </c>
      <c r="AA28" s="10">
        <f t="shared" si="6"/>
        <v>67.24200979</v>
      </c>
      <c r="AB28" s="11" t="b">
        <v>0</v>
      </c>
      <c r="AC28" s="8">
        <f t="shared" si="7"/>
        <v>67.24200979</v>
      </c>
      <c r="AD28" s="7"/>
    </row>
    <row r="29">
      <c r="A29" s="5">
        <v>3.13510176E8</v>
      </c>
      <c r="B29" s="6" t="s">
        <v>29</v>
      </c>
      <c r="C29" s="7">
        <v>639310.0</v>
      </c>
      <c r="D29" s="7">
        <v>0.4824</v>
      </c>
      <c r="E29" s="7">
        <f>IFERROR(__xludf.DUMMYFUNCTION("IF(B29=""PASS"", RANK.EQ(C29, FILTER($C$2:$C$142, $B$2:$B$142=""PASS""), 1) + COUNTIFS($C$2:$C$142, C29, $D$2:$D$142, ""&lt;""&amp;D29, $B$2:$B$142, ""PASS""), """")"),9.0)</f>
        <v>9</v>
      </c>
      <c r="F29" s="8">
        <f t="shared" si="1"/>
        <v>19.68992248</v>
      </c>
      <c r="G29" s="6" t="s">
        <v>29</v>
      </c>
      <c r="H29" s="7">
        <v>2677565.0</v>
      </c>
      <c r="I29" s="7">
        <v>2.4773</v>
      </c>
      <c r="J29" s="7">
        <f>IFERROR(__xludf.DUMMYFUNCTION("IF(G29=""PASS"", RANK.EQ(H29, FILTER($H$2:$H$142, $G$2:$G$142=""PASS""), 1) + COUNTIFS($H$2:$H$142, H29, $I$2:$I$142, ""&lt;""&amp;I29, $G$2:$G$142, ""PASS""), """")"),9.0)</f>
        <v>9</v>
      </c>
      <c r="K29" s="8">
        <f t="shared" si="2"/>
        <v>19.6875</v>
      </c>
      <c r="L29" s="6" t="s">
        <v>29</v>
      </c>
      <c r="M29" s="7">
        <v>1.1383425E7</v>
      </c>
      <c r="N29" s="7">
        <v>13.8765</v>
      </c>
      <c r="O29" s="7">
        <f>IFERROR(__xludf.DUMMYFUNCTION("IF(L29=""PASS"", RANK.EQ(M29, FILTER($M$2:$M$142, $L$2:$L$142=""PASS""), 1) + COUNTIFS($M$2:$M$142, M29, $N$2:$N$142, ""&lt;""&amp;N29, $L$2:$L$142, ""PASS""), """")"),7.0)</f>
        <v>7</v>
      </c>
      <c r="P29" s="8">
        <f t="shared" si="3"/>
        <v>19.75409836</v>
      </c>
      <c r="Q29" s="6" t="s">
        <v>29</v>
      </c>
      <c r="R29" s="7">
        <v>1.1317721E7</v>
      </c>
      <c r="S29" s="7">
        <v>13.9827</v>
      </c>
      <c r="T29" s="7">
        <f>IFERROR(__xludf.DUMMYFUNCTION("IF(Q29=""PASS"", RANK.EQ(R29, FILTER($R$2:$R$142, $Q$2:$Q$142=""PASS""), 1) + COUNTIFS($R$2:$R$142, R29, $S$2:$S$142, ""&lt;""&amp;S29, $Q$2:$Q$142, ""PASS""), """")"),7.0)</f>
        <v>7</v>
      </c>
      <c r="U29" s="8">
        <f t="shared" si="4"/>
        <v>19.75</v>
      </c>
      <c r="V29" s="6" t="s">
        <v>29</v>
      </c>
      <c r="W29" s="7">
        <v>1.28625339E8</v>
      </c>
      <c r="X29" s="7">
        <v>118.2415</v>
      </c>
      <c r="Y29" s="7">
        <f>IFERROR(__xludf.DUMMYFUNCTION("IF(V29=""PASS"", RANK.EQ(W29, FILTER($W$2:$W$142, $V$2:$V$142=""PASS""), 1) + COUNTIFS($W$2:$W$142, W29, $X$2:$X$142, ""&lt;""&amp;X29, $V$2:$V$142, ""PASS""), """")"),47.0)</f>
        <v>47</v>
      </c>
      <c r="Z29" s="8">
        <f t="shared" si="5"/>
        <v>17.22891566</v>
      </c>
      <c r="AA29" s="10">
        <f t="shared" si="6"/>
        <v>96.1104365</v>
      </c>
      <c r="AB29" s="11" t="b">
        <v>0</v>
      </c>
      <c r="AC29" s="8">
        <f t="shared" si="7"/>
        <v>96.1104365</v>
      </c>
      <c r="AD29" s="7"/>
    </row>
    <row r="30">
      <c r="A30" s="5">
        <v>3.1351018E8</v>
      </c>
      <c r="B30" s="6" t="s">
        <v>29</v>
      </c>
      <c r="C30" s="7">
        <v>1228014.0</v>
      </c>
      <c r="D30" s="7">
        <v>26.1343</v>
      </c>
      <c r="E30" s="7">
        <f>IFERROR(__xludf.DUMMYFUNCTION("IF(B30=""PASS"", RANK.EQ(C30, FILTER($C$2:$C$142, $B$2:$B$142=""PASS""), 1) + COUNTIFS($C$2:$C$142, C30, $D$2:$D$142, ""&lt;""&amp;D30, $B$2:$B$142, ""PASS""), """")"),114.0)</f>
        <v>114</v>
      </c>
      <c r="F30" s="8">
        <f t="shared" si="1"/>
        <v>15.62015504</v>
      </c>
      <c r="G30" s="6" t="s">
        <v>29</v>
      </c>
      <c r="H30" s="7">
        <v>8484678.0</v>
      </c>
      <c r="I30" s="7">
        <v>51.1913</v>
      </c>
      <c r="J30" s="7">
        <f>IFERROR(__xludf.DUMMYFUNCTION("IF(G30=""PASS"", RANK.EQ(H30, FILTER($H$2:$H$142, $G$2:$G$142=""PASS""), 1) + COUNTIFS($H$2:$H$142, H30, $I$2:$I$142, ""&lt;""&amp;I30, $G$2:$G$142, ""PASS""), """")"),114.0)</f>
        <v>114</v>
      </c>
      <c r="K30" s="8">
        <f t="shared" si="2"/>
        <v>15.5859375</v>
      </c>
      <c r="L30" s="6" t="s">
        <v>29</v>
      </c>
      <c r="M30" s="7">
        <v>3.7434244E7</v>
      </c>
      <c r="N30" s="7">
        <v>6.7166</v>
      </c>
      <c r="O30" s="7">
        <f>IFERROR(__xludf.DUMMYFUNCTION("IF(L30=""PASS"", RANK.EQ(M30, FILTER($M$2:$M$142, $L$2:$L$142=""PASS""), 1) + COUNTIFS($M$2:$M$142, M30, $N$2:$N$142, ""&lt;""&amp;N30, $L$2:$L$142, ""PASS""), """")"),111.0)</f>
        <v>111</v>
      </c>
      <c r="P30" s="8">
        <f t="shared" si="3"/>
        <v>15.49180328</v>
      </c>
      <c r="Q30" s="6" t="s">
        <v>29</v>
      </c>
      <c r="R30" s="7">
        <v>3.8656392E7</v>
      </c>
      <c r="S30" s="7">
        <v>6.9177</v>
      </c>
      <c r="T30" s="7">
        <f>IFERROR(__xludf.DUMMYFUNCTION("IF(Q30=""PASS"", RANK.EQ(R30, FILTER($R$2:$R$142, $Q$2:$Q$142=""PASS""), 1) + COUNTIFS($R$2:$R$142, R30, $S$2:$S$142, ""&lt;""&amp;S30, $Q$2:$Q$142, ""PASS""), """")"),110.0)</f>
        <v>110</v>
      </c>
      <c r="U30" s="8">
        <f t="shared" si="4"/>
        <v>15.45833333</v>
      </c>
      <c r="V30" s="6" t="s">
        <v>30</v>
      </c>
      <c r="W30" s="9"/>
      <c r="X30" s="7">
        <v>47.2254</v>
      </c>
      <c r="Y30" s="7" t="str">
        <f>IFERROR(__xludf.DUMMYFUNCTION("IF(V30=""PASS"", RANK.EQ(W30, FILTER($W$2:$W$142, $V$2:$V$142=""PASS""), 1) + COUNTIFS($W$2:$W$142, W30, $X$2:$X$142, ""&lt;""&amp;X30, $V$2:$V$142, ""PASS""), """")"),"")</f>
        <v/>
      </c>
      <c r="Z30" s="8">
        <f t="shared" si="5"/>
        <v>0</v>
      </c>
      <c r="AA30" s="10">
        <f t="shared" si="6"/>
        <v>62.15622915</v>
      </c>
      <c r="AB30" s="11" t="b">
        <v>0</v>
      </c>
      <c r="AC30" s="8">
        <f t="shared" si="7"/>
        <v>62.15622915</v>
      </c>
      <c r="AD30" s="7"/>
    </row>
    <row r="31">
      <c r="A31" s="5">
        <v>3.13510187E8</v>
      </c>
      <c r="B31" s="6" t="s">
        <v>29</v>
      </c>
      <c r="C31" s="7">
        <v>1048819.0</v>
      </c>
      <c r="D31" s="7">
        <v>0.2829</v>
      </c>
      <c r="E31" s="7">
        <f>IFERROR(__xludf.DUMMYFUNCTION("IF(B31=""PASS"", RANK.EQ(C31, FILTER($C$2:$C$142, $B$2:$B$142=""PASS""), 1) + COUNTIFS($C$2:$C$142, C31, $D$2:$D$142, ""&lt;""&amp;D31, $B$2:$B$142, ""PASS""), """")"),98.0)</f>
        <v>98</v>
      </c>
      <c r="F31" s="8">
        <f t="shared" si="1"/>
        <v>16.24031008</v>
      </c>
      <c r="G31" s="6" t="s">
        <v>29</v>
      </c>
      <c r="H31" s="7">
        <v>5335821.0</v>
      </c>
      <c r="I31" s="7">
        <v>1.5521</v>
      </c>
      <c r="J31" s="7">
        <f>IFERROR(__xludf.DUMMYFUNCTION("IF(G31=""PASS"", RANK.EQ(H31, FILTER($H$2:$H$142, $G$2:$G$142=""PASS""), 1) + COUNTIFS($H$2:$H$142, H31, $I$2:$I$142, ""&lt;""&amp;I31, $G$2:$G$142, ""PASS""), """")"),93.0)</f>
        <v>93</v>
      </c>
      <c r="K31" s="8">
        <f t="shared" si="2"/>
        <v>16.40625</v>
      </c>
      <c r="L31" s="6" t="s">
        <v>29</v>
      </c>
      <c r="M31" s="7">
        <v>2.2781993E7</v>
      </c>
      <c r="N31" s="7">
        <v>6.8735</v>
      </c>
      <c r="O31" s="7">
        <f>IFERROR(__xludf.DUMMYFUNCTION("IF(L31=""PASS"", RANK.EQ(M31, FILTER($M$2:$M$142, $L$2:$L$142=""PASS""), 1) + COUNTIFS($M$2:$M$142, M31, $N$2:$N$142, ""&lt;""&amp;N31, $L$2:$L$142, ""PASS""), """")"),84.0)</f>
        <v>84</v>
      </c>
      <c r="P31" s="8">
        <f t="shared" si="3"/>
        <v>16.59836066</v>
      </c>
      <c r="Q31" s="6" t="s">
        <v>29</v>
      </c>
      <c r="R31" s="7">
        <v>2.3436741E7</v>
      </c>
      <c r="S31" s="7">
        <v>6.9225</v>
      </c>
      <c r="T31" s="7">
        <f>IFERROR(__xludf.DUMMYFUNCTION("IF(Q31=""PASS"", RANK.EQ(R31, FILTER($R$2:$R$142, $Q$2:$Q$142=""PASS""), 1) + COUNTIFS($R$2:$R$142, R31, $S$2:$S$142, ""&lt;""&amp;S31, $Q$2:$Q$142, ""PASS""), """")"),84.0)</f>
        <v>84</v>
      </c>
      <c r="U31" s="8">
        <f t="shared" si="4"/>
        <v>16.54166667</v>
      </c>
      <c r="V31" s="6" t="s">
        <v>30</v>
      </c>
      <c r="W31" s="9"/>
      <c r="X31" s="7">
        <v>30.5248</v>
      </c>
      <c r="Y31" s="7" t="str">
        <f>IFERROR(__xludf.DUMMYFUNCTION("IF(V31=""PASS"", RANK.EQ(W31, FILTER($W$2:$W$142, $V$2:$V$142=""PASS""), 1) + COUNTIFS($W$2:$W$142, W31, $X$2:$X$142, ""&lt;""&amp;X31, $V$2:$V$142, ""PASS""), """")"),"")</f>
        <v/>
      </c>
      <c r="Z31" s="8">
        <f t="shared" si="5"/>
        <v>0</v>
      </c>
      <c r="AA31" s="10">
        <f t="shared" si="6"/>
        <v>65.7865874</v>
      </c>
      <c r="AB31" s="11" t="b">
        <v>0</v>
      </c>
      <c r="AC31" s="8">
        <f t="shared" si="7"/>
        <v>65.7865874</v>
      </c>
      <c r="AD31" s="7"/>
    </row>
    <row r="32">
      <c r="A32" s="5">
        <v>3.13510188E8</v>
      </c>
      <c r="B32" s="6" t="s">
        <v>29</v>
      </c>
      <c r="C32" s="7">
        <v>937695.0</v>
      </c>
      <c r="D32" s="7">
        <v>2.1588</v>
      </c>
      <c r="E32" s="7">
        <f>IFERROR(__xludf.DUMMYFUNCTION("IF(B32=""PASS"", RANK.EQ(C32, FILTER($C$2:$C$142, $B$2:$B$142=""PASS""), 1) + COUNTIFS($C$2:$C$142, C32, $D$2:$D$142, ""&lt;""&amp;D32, $B$2:$B$142, ""PASS""), """")"),82.0)</f>
        <v>82</v>
      </c>
      <c r="F32" s="8">
        <f t="shared" si="1"/>
        <v>16.86046512</v>
      </c>
      <c r="G32" s="6" t="s">
        <v>29</v>
      </c>
      <c r="H32" s="7">
        <v>4424779.0</v>
      </c>
      <c r="I32" s="7">
        <v>11.75</v>
      </c>
      <c r="J32" s="7">
        <f>IFERROR(__xludf.DUMMYFUNCTION("IF(G32=""PASS"", RANK.EQ(H32, FILTER($H$2:$H$142, $G$2:$G$142=""PASS""), 1) + COUNTIFS($H$2:$H$142, H32, $I$2:$I$142, ""&lt;""&amp;I32, $G$2:$G$142, ""PASS""), """")"),76.0)</f>
        <v>76</v>
      </c>
      <c r="K32" s="8">
        <f t="shared" si="2"/>
        <v>17.0703125</v>
      </c>
      <c r="L32" s="6" t="s">
        <v>29</v>
      </c>
      <c r="M32" s="7">
        <v>1.9188922E7</v>
      </c>
      <c r="N32" s="7">
        <v>54.4986</v>
      </c>
      <c r="O32" s="7">
        <f>IFERROR(__xludf.DUMMYFUNCTION("IF(L32=""PASS"", RANK.EQ(M32, FILTER($M$2:$M$142, $L$2:$L$142=""PASS""), 1) + COUNTIFS($M$2:$M$142, M32, $N$2:$N$142, ""&lt;""&amp;N32, $L$2:$L$142, ""PASS""), """")"),65.0)</f>
        <v>65</v>
      </c>
      <c r="P32" s="8">
        <f t="shared" si="3"/>
        <v>17.37704918</v>
      </c>
      <c r="Q32" s="6" t="s">
        <v>29</v>
      </c>
      <c r="R32" s="7">
        <v>1.9440991E7</v>
      </c>
      <c r="S32" s="7">
        <v>56.0815</v>
      </c>
      <c r="T32" s="7">
        <f>IFERROR(__xludf.DUMMYFUNCTION("IF(Q32=""PASS"", RANK.EQ(R32, FILTER($R$2:$R$142, $Q$2:$Q$142=""PASS""), 1) + COUNTIFS($R$2:$R$142, R32, $S$2:$S$142, ""&lt;""&amp;S32, $Q$2:$Q$142, ""PASS""), """")"),68.0)</f>
        <v>68</v>
      </c>
      <c r="U32" s="8">
        <f t="shared" si="4"/>
        <v>17.20833333</v>
      </c>
      <c r="V32" s="6" t="s">
        <v>29</v>
      </c>
      <c r="W32" s="7">
        <v>1.28625339E8</v>
      </c>
      <c r="X32" s="7">
        <v>174.2351</v>
      </c>
      <c r="Y32" s="7">
        <f>IFERROR(__xludf.DUMMYFUNCTION("IF(V32=""PASS"", RANK.EQ(W32, FILTER($W$2:$W$142, $V$2:$V$142=""PASS""), 1) + COUNTIFS($W$2:$W$142, W32, $X$2:$X$142, ""&lt;""&amp;X32, $V$2:$V$142, ""PASS""), """")"),58.0)</f>
        <v>58</v>
      </c>
      <c r="Z32" s="8">
        <f t="shared" si="5"/>
        <v>16.56626506</v>
      </c>
      <c r="AA32" s="10">
        <f t="shared" si="6"/>
        <v>85.08242519</v>
      </c>
      <c r="AB32" s="11" t="b">
        <v>0</v>
      </c>
      <c r="AC32" s="8">
        <f t="shared" si="7"/>
        <v>85.08242519</v>
      </c>
      <c r="AD32" s="7"/>
    </row>
    <row r="33">
      <c r="A33" s="5">
        <v>3.13510189E8</v>
      </c>
      <c r="B33" s="6" t="s">
        <v>29</v>
      </c>
      <c r="C33" s="7">
        <v>1035734.0</v>
      </c>
      <c r="D33" s="7">
        <v>0.2946</v>
      </c>
      <c r="E33" s="7">
        <f>IFERROR(__xludf.DUMMYFUNCTION("IF(B33=""PASS"", RANK.EQ(C33, FILTER($C$2:$C$142, $B$2:$B$142=""PASS""), 1) + COUNTIFS($C$2:$C$142, C33, $D$2:$D$142, ""&lt;""&amp;D33, $B$2:$B$142, ""PASS""), """")"),90.0)</f>
        <v>90</v>
      </c>
      <c r="F33" s="8">
        <f t="shared" si="1"/>
        <v>16.5503876</v>
      </c>
      <c r="G33" s="6" t="s">
        <v>29</v>
      </c>
      <c r="H33" s="7">
        <v>5267625.0</v>
      </c>
      <c r="I33" s="7">
        <v>1.7004</v>
      </c>
      <c r="J33" s="7">
        <f>IFERROR(__xludf.DUMMYFUNCTION("IF(G33=""PASS"", RANK.EQ(H33, FILTER($H$2:$H$142, $G$2:$G$142=""PASS""), 1) + COUNTIFS($H$2:$H$142, H33, $I$2:$I$142, ""&lt;""&amp;I33, $G$2:$G$142, ""PASS""), """")"),87.0)</f>
        <v>87</v>
      </c>
      <c r="K33" s="8">
        <f t="shared" si="2"/>
        <v>16.640625</v>
      </c>
      <c r="L33" s="6" t="s">
        <v>29</v>
      </c>
      <c r="M33" s="7">
        <v>2.2509314E7</v>
      </c>
      <c r="N33" s="7">
        <v>7.7051</v>
      </c>
      <c r="O33" s="7">
        <f>IFERROR(__xludf.DUMMYFUNCTION("IF(L33=""PASS"", RANK.EQ(M33, FILTER($M$2:$M$142, $L$2:$L$142=""PASS""), 1) + COUNTIFS($M$2:$M$142, M33, $N$2:$N$142, ""&lt;""&amp;N33, $L$2:$L$142, ""PASS""), """")"),79.0)</f>
        <v>79</v>
      </c>
      <c r="P33" s="8">
        <f t="shared" si="3"/>
        <v>16.80327869</v>
      </c>
      <c r="Q33" s="6" t="s">
        <v>29</v>
      </c>
      <c r="R33" s="7">
        <v>2.315459E7</v>
      </c>
      <c r="S33" s="7">
        <v>7.9475</v>
      </c>
      <c r="T33" s="7">
        <f>IFERROR(__xludf.DUMMYFUNCTION("IF(Q33=""PASS"", RANK.EQ(R33, FILTER($R$2:$R$142, $Q$2:$Q$142=""PASS""), 1) + COUNTIFS($R$2:$R$142, R33, $S$2:$S$142, ""&lt;""&amp;S33, $Q$2:$Q$142, ""PASS""), """")"),79.0)</f>
        <v>79</v>
      </c>
      <c r="U33" s="8">
        <f t="shared" si="4"/>
        <v>16.75</v>
      </c>
      <c r="V33" s="6" t="s">
        <v>29</v>
      </c>
      <c r="W33" s="7">
        <v>1.28625339E8</v>
      </c>
      <c r="X33" s="7">
        <v>33.579</v>
      </c>
      <c r="Y33" s="7">
        <f>IFERROR(__xludf.DUMMYFUNCTION("IF(V33=""PASS"", RANK.EQ(W33, FILTER($W$2:$W$142, $V$2:$V$142=""PASS""), 1) + COUNTIFS($W$2:$W$142, W33, $X$2:$X$142, ""&lt;""&amp;X33, $V$2:$V$142, ""PASS""), """")"),25.0)</f>
        <v>25</v>
      </c>
      <c r="Z33" s="8">
        <f t="shared" si="5"/>
        <v>18.55421687</v>
      </c>
      <c r="AA33" s="10">
        <f t="shared" si="6"/>
        <v>85.29850815</v>
      </c>
      <c r="AB33" s="11" t="b">
        <v>0</v>
      </c>
      <c r="AC33" s="8">
        <f t="shared" si="7"/>
        <v>85.29850815</v>
      </c>
      <c r="AD33" s="7"/>
    </row>
    <row r="34">
      <c r="A34" s="5">
        <v>3.1351019E8</v>
      </c>
      <c r="B34" s="6" t="s">
        <v>29</v>
      </c>
      <c r="C34" s="7">
        <v>1625461.0</v>
      </c>
      <c r="D34" s="7">
        <v>18.7807</v>
      </c>
      <c r="E34" s="7">
        <f>IFERROR(__xludf.DUMMYFUNCTION("IF(B34=""PASS"", RANK.EQ(C34, FILTER($C$2:$C$142, $B$2:$B$142=""PASS""), 1) + COUNTIFS($C$2:$C$142, C34, $D$2:$D$142, ""&lt;""&amp;D34, $B$2:$B$142, ""PASS""), """")"),119.0)</f>
        <v>119</v>
      </c>
      <c r="F34" s="8">
        <f t="shared" si="1"/>
        <v>15.42635659</v>
      </c>
      <c r="G34" s="6" t="s">
        <v>29</v>
      </c>
      <c r="H34" s="7">
        <v>8632399.0</v>
      </c>
      <c r="I34" s="7">
        <v>49.6645</v>
      </c>
      <c r="J34" s="7">
        <f>IFERROR(__xludf.DUMMYFUNCTION("IF(G34=""PASS"", RANK.EQ(H34, FILTER($H$2:$H$142, $G$2:$G$142=""PASS""), 1) + COUNTIFS($H$2:$H$142, H34, $I$2:$I$142, ""&lt;""&amp;I34, $G$2:$G$142, ""PASS""), """")"),116.0)</f>
        <v>116</v>
      </c>
      <c r="K34" s="8">
        <f t="shared" si="2"/>
        <v>15.5078125</v>
      </c>
      <c r="L34" s="6" t="s">
        <v>29</v>
      </c>
      <c r="M34" s="7">
        <v>3.7247676E7</v>
      </c>
      <c r="N34" s="7">
        <v>133.6707</v>
      </c>
      <c r="O34" s="7">
        <f>IFERROR(__xludf.DUMMYFUNCTION("IF(L34=""PASS"", RANK.EQ(M34, FILTER($M$2:$M$142, $L$2:$L$142=""PASS""), 1) + COUNTIFS($M$2:$M$142, M34, $N$2:$N$142, ""&lt;""&amp;N34, $L$2:$L$142, ""PASS""), """")"),106.0)</f>
        <v>106</v>
      </c>
      <c r="P34" s="8">
        <f t="shared" si="3"/>
        <v>15.69672131</v>
      </c>
      <c r="Q34" s="6" t="s">
        <v>29</v>
      </c>
      <c r="R34" s="7">
        <v>3.8459229E7</v>
      </c>
      <c r="S34" s="7">
        <v>141.5544</v>
      </c>
      <c r="T34" s="7">
        <f>IFERROR(__xludf.DUMMYFUNCTION("IF(Q34=""PASS"", RANK.EQ(R34, FILTER($R$2:$R$142, $Q$2:$Q$142=""PASS""), 1) + COUNTIFS($R$2:$R$142, R34, $S$2:$S$142, ""&lt;""&amp;S34, $Q$2:$Q$142, ""PASS""), """")"),105.0)</f>
        <v>105</v>
      </c>
      <c r="U34" s="8">
        <f t="shared" si="4"/>
        <v>15.66666667</v>
      </c>
      <c r="V34" s="12" t="s">
        <v>31</v>
      </c>
      <c r="W34" s="13">
        <v>1.29176074E8</v>
      </c>
      <c r="X34" s="13">
        <v>178.1135</v>
      </c>
      <c r="Y34" s="13" t="str">
        <f>IFERROR(__xludf.DUMMYFUNCTION("IF(V34=""PASS"", RANK.EQ(W34, FILTER($W$2:$W$142, $V$2:$V$142=""PASS""), 1) + COUNTIFS($W$2:$W$142, W34, $X$2:$X$142, ""&lt;""&amp;X34, $V$2:$V$142, ""PASS""), """")"),"")</f>
        <v/>
      </c>
      <c r="Z34" s="14">
        <f t="shared" si="5"/>
        <v>15</v>
      </c>
      <c r="AA34" s="10">
        <f t="shared" si="6"/>
        <v>77.29755707</v>
      </c>
      <c r="AB34" s="11" t="b">
        <v>0</v>
      </c>
      <c r="AC34" s="8">
        <f t="shared" si="7"/>
        <v>77.29755707</v>
      </c>
      <c r="AD34" s="7"/>
    </row>
    <row r="35">
      <c r="A35" s="5">
        <v>3.13510193E8</v>
      </c>
      <c r="B35" s="12" t="s">
        <v>31</v>
      </c>
      <c r="C35" s="13">
        <v>1686041.0</v>
      </c>
      <c r="D35" s="13">
        <v>0.1386</v>
      </c>
      <c r="E35" s="13" t="str">
        <f>IFERROR(__xludf.DUMMYFUNCTION("IF(B35=""PASS"", RANK.EQ(C35, FILTER($C$2:$C$142, $B$2:$B$142=""PASS""), 1) + COUNTIFS($C$2:$C$142, C35, $D$2:$D$142, ""&lt;""&amp;D35, $B$2:$B$142, ""PASS""), """")"),"")</f>
        <v/>
      </c>
      <c r="F35" s="14">
        <f t="shared" si="1"/>
        <v>15</v>
      </c>
      <c r="G35" s="12" t="s">
        <v>31</v>
      </c>
      <c r="H35" s="13">
        <v>8790279.0</v>
      </c>
      <c r="I35" s="13">
        <v>0.6328</v>
      </c>
      <c r="J35" s="13" t="str">
        <f>IFERROR(__xludf.DUMMYFUNCTION("IF(G35=""PASS"", RANK.EQ(H35, FILTER($H$2:$H$142, $G$2:$G$142=""PASS""), 1) + COUNTIFS($H$2:$H$142, H35, $I$2:$I$142, ""&lt;""&amp;I35, $G$2:$G$142, ""PASS""), """")"),"")</f>
        <v/>
      </c>
      <c r="K35" s="14">
        <f t="shared" si="2"/>
        <v>15</v>
      </c>
      <c r="L35" s="12" t="s">
        <v>31</v>
      </c>
      <c r="M35" s="13">
        <v>3.7449829E7</v>
      </c>
      <c r="N35" s="13">
        <v>2.62</v>
      </c>
      <c r="O35" s="13" t="str">
        <f>IFERROR(__xludf.DUMMYFUNCTION("IF(L35=""PASS"", RANK.EQ(M35, FILTER($M$2:$M$142, $L$2:$L$142=""PASS""), 1) + COUNTIFS($M$2:$M$142, M35, $N$2:$N$142, ""&lt;""&amp;N35, $L$2:$L$142, ""PASS""), """")"),"")</f>
        <v/>
      </c>
      <c r="P35" s="14">
        <f t="shared" si="3"/>
        <v>15</v>
      </c>
      <c r="Q35" s="12" t="s">
        <v>31</v>
      </c>
      <c r="R35" s="13">
        <v>3.8672677E7</v>
      </c>
      <c r="S35" s="13">
        <v>2.6301</v>
      </c>
      <c r="T35" s="13" t="str">
        <f>IFERROR(__xludf.DUMMYFUNCTION("IF(Q35=""PASS"", RANK.EQ(R35, FILTER($R$2:$R$142, $Q$2:$Q$142=""PASS""), 1) + COUNTIFS($R$2:$R$142, R35, $S$2:$S$142, ""&lt;""&amp;S35, $Q$2:$Q$142, ""PASS""), """")"),"")</f>
        <v/>
      </c>
      <c r="U35" s="14">
        <f t="shared" si="4"/>
        <v>15</v>
      </c>
      <c r="V35" s="6" t="s">
        <v>30</v>
      </c>
      <c r="W35" s="7"/>
      <c r="X35" s="7">
        <v>89.3905</v>
      </c>
      <c r="Y35" s="7" t="str">
        <f>IFERROR(__xludf.DUMMYFUNCTION("IF(V35=""PASS"", RANK.EQ(W35, FILTER($W$2:$W$142, $V$2:$V$142=""PASS""), 1) + COUNTIFS($W$2:$W$142, W35, $X$2:$X$142, ""&lt;""&amp;X35, $V$2:$V$142, ""PASS""), """")"),"")</f>
        <v/>
      </c>
      <c r="Z35" s="8">
        <f t="shared" si="5"/>
        <v>0</v>
      </c>
      <c r="AA35" s="10">
        <f t="shared" si="6"/>
        <v>60</v>
      </c>
      <c r="AB35" s="11" t="b">
        <v>0</v>
      </c>
      <c r="AC35" s="8">
        <f t="shared" si="7"/>
        <v>60</v>
      </c>
      <c r="AD35" s="7"/>
    </row>
    <row r="36">
      <c r="A36" s="5">
        <v>3.13510195E8</v>
      </c>
      <c r="B36" s="6" t="s">
        <v>29</v>
      </c>
      <c r="C36" s="7">
        <v>810505.0</v>
      </c>
      <c r="D36" s="7">
        <v>0.0659</v>
      </c>
      <c r="E36" s="7">
        <f>IFERROR(__xludf.DUMMYFUNCTION("IF(B36=""PASS"", RANK.EQ(C36, FILTER($C$2:$C$142, $B$2:$B$142=""PASS""), 1) + COUNTIFS($C$2:$C$142, C36, $D$2:$D$142, ""&lt;""&amp;D36, $B$2:$B$142, ""PASS""), """")"),67.0)</f>
        <v>67</v>
      </c>
      <c r="F36" s="8">
        <f t="shared" si="1"/>
        <v>17.44186047</v>
      </c>
      <c r="G36" s="6" t="s">
        <v>29</v>
      </c>
      <c r="H36" s="7">
        <v>3997287.0</v>
      </c>
      <c r="I36" s="7">
        <v>0.3304</v>
      </c>
      <c r="J36" s="7">
        <f>IFERROR(__xludf.DUMMYFUNCTION("IF(G36=""PASS"", RANK.EQ(H36, FILTER($H$2:$H$142, $G$2:$G$142=""PASS""), 1) + COUNTIFS($H$2:$H$142, H36, $I$2:$I$142, ""&lt;""&amp;I36, $G$2:$G$142, ""PASS""), """")"),67.0)</f>
        <v>67</v>
      </c>
      <c r="K36" s="8">
        <f t="shared" si="2"/>
        <v>17.421875</v>
      </c>
      <c r="L36" s="6" t="s">
        <v>29</v>
      </c>
      <c r="M36" s="7">
        <v>1.7089908E7</v>
      </c>
      <c r="N36" s="7">
        <v>1.4049</v>
      </c>
      <c r="O36" s="7">
        <f>IFERROR(__xludf.DUMMYFUNCTION("IF(L36=""PASS"", RANK.EQ(M36, FILTER($M$2:$M$142, $L$2:$L$142=""PASS""), 1) + COUNTIFS($M$2:$M$142, M36, $N$2:$N$142, ""&lt;""&amp;N36, $L$2:$L$142, ""PASS""), """")"),58.0)</f>
        <v>58</v>
      </c>
      <c r="P36" s="8">
        <f t="shared" si="3"/>
        <v>17.66393443</v>
      </c>
      <c r="Q36" s="6" t="s">
        <v>29</v>
      </c>
      <c r="R36" s="7">
        <v>1.7540904E7</v>
      </c>
      <c r="S36" s="7">
        <v>1.4844</v>
      </c>
      <c r="T36" s="7">
        <f>IFERROR(__xludf.DUMMYFUNCTION("IF(Q36=""PASS"", RANK.EQ(R36, FILTER($R$2:$R$142, $Q$2:$Q$142=""PASS""), 1) + COUNTIFS($R$2:$R$142, R36, $S$2:$S$142, ""&lt;""&amp;S36, $Q$2:$Q$142, ""PASS""), """")"),58.0)</f>
        <v>58</v>
      </c>
      <c r="U36" s="8">
        <f t="shared" si="4"/>
        <v>17.625</v>
      </c>
      <c r="V36" s="6" t="s">
        <v>29</v>
      </c>
      <c r="W36" s="7">
        <v>1.28625339E8</v>
      </c>
      <c r="X36" s="7">
        <v>9.0351</v>
      </c>
      <c r="Y36" s="7">
        <f>IFERROR(__xludf.DUMMYFUNCTION("IF(V36=""PASS"", RANK.EQ(W36, FILTER($W$2:$W$142, $V$2:$V$142=""PASS""), 1) + COUNTIFS($W$2:$W$142, W36, $X$2:$X$142, ""&lt;""&amp;X36, $V$2:$V$142, ""PASS""), """")"),4.0)</f>
        <v>4</v>
      </c>
      <c r="Z36" s="8">
        <f t="shared" si="5"/>
        <v>19.81927711</v>
      </c>
      <c r="AA36" s="10">
        <f t="shared" si="6"/>
        <v>89.971947</v>
      </c>
      <c r="AB36" s="11" t="b">
        <v>0</v>
      </c>
      <c r="AC36" s="8">
        <f t="shared" si="7"/>
        <v>89.971947</v>
      </c>
      <c r="AD36" s="7"/>
    </row>
    <row r="37">
      <c r="A37" s="5">
        <v>3.13510197E8</v>
      </c>
      <c r="B37" s="6" t="s">
        <v>29</v>
      </c>
      <c r="C37" s="7">
        <v>619464.0</v>
      </c>
      <c r="D37" s="7">
        <v>1.4232</v>
      </c>
      <c r="E37" s="7">
        <f>IFERROR(__xludf.DUMMYFUNCTION("IF(B37=""PASS"", RANK.EQ(C37, FILTER($C$2:$C$142, $B$2:$B$142=""PASS""), 1) + COUNTIFS($C$2:$C$142, C37, $D$2:$D$142, ""&lt;""&amp;D37, $B$2:$B$142, ""PASS""), """")"),5.0)</f>
        <v>5</v>
      </c>
      <c r="F37" s="8">
        <f t="shared" si="1"/>
        <v>19.84496124</v>
      </c>
      <c r="G37" s="6" t="s">
        <v>29</v>
      </c>
      <c r="H37" s="7">
        <v>2549765.0</v>
      </c>
      <c r="I37" s="7">
        <v>20.281</v>
      </c>
      <c r="J37" s="7">
        <f>IFERROR(__xludf.DUMMYFUNCTION("IF(G37=""PASS"", RANK.EQ(H37, FILTER($H$2:$H$142, $G$2:$G$142=""PASS""), 1) + COUNTIFS($H$2:$H$142, H37, $I$2:$I$142, ""&lt;""&amp;I37, $G$2:$G$142, ""PASS""), """")"),5.0)</f>
        <v>5</v>
      </c>
      <c r="K37" s="8">
        <f t="shared" si="2"/>
        <v>19.84375</v>
      </c>
      <c r="L37" s="6" t="s">
        <v>29</v>
      </c>
      <c r="M37" s="7">
        <v>1.0810083E7</v>
      </c>
      <c r="N37" s="7">
        <v>105.4266</v>
      </c>
      <c r="O37" s="7">
        <f>IFERROR(__xludf.DUMMYFUNCTION("IF(L37=""PASS"", RANK.EQ(M37, FILTER($M$2:$M$142, $L$2:$L$142=""PASS""), 1) + COUNTIFS($M$2:$M$142, M37, $N$2:$N$142, ""&lt;""&amp;N37, $L$2:$L$142, ""PASS""), """")"),3.0)</f>
        <v>3</v>
      </c>
      <c r="P37" s="8">
        <f t="shared" si="3"/>
        <v>19.91803279</v>
      </c>
      <c r="Q37" s="6" t="s">
        <v>29</v>
      </c>
      <c r="R37" s="7">
        <v>1.0699832E7</v>
      </c>
      <c r="S37" s="7">
        <v>118.5795</v>
      </c>
      <c r="T37" s="7">
        <f>IFERROR(__xludf.DUMMYFUNCTION("IF(Q37=""PASS"", RANK.EQ(R37, FILTER($R$2:$R$142, $Q$2:$Q$142=""PASS""), 1) + COUNTIFS($R$2:$R$142, R37, $S$2:$S$142, ""&lt;""&amp;S37, $Q$2:$Q$142, ""PASS""), """")"),3.0)</f>
        <v>3</v>
      </c>
      <c r="U37" s="8">
        <f t="shared" si="4"/>
        <v>19.91666667</v>
      </c>
      <c r="V37" s="12" t="s">
        <v>31</v>
      </c>
      <c r="W37" s="13">
        <v>1.28625339E8</v>
      </c>
      <c r="X37" s="13">
        <v>34.9063</v>
      </c>
      <c r="Y37" s="13" t="str">
        <f>IFERROR(__xludf.DUMMYFUNCTION("IF(V37=""PASS"", RANK.EQ(W37, FILTER($W$2:$W$142, $V$2:$V$142=""PASS""), 1) + COUNTIFS($W$2:$W$142, W37, $X$2:$X$142, ""&lt;""&amp;X37, $V$2:$V$142, ""PASS""), """")"),"")</f>
        <v/>
      </c>
      <c r="Z37" s="14">
        <f t="shared" si="5"/>
        <v>15</v>
      </c>
      <c r="AA37" s="10">
        <f t="shared" si="6"/>
        <v>94.52341069</v>
      </c>
      <c r="AB37" s="11" t="b">
        <v>0</v>
      </c>
      <c r="AC37" s="8">
        <f t="shared" si="7"/>
        <v>94.52341069</v>
      </c>
      <c r="AD37" s="7"/>
    </row>
    <row r="38">
      <c r="A38" s="5">
        <v>3.13510204E8</v>
      </c>
      <c r="B38" s="6" t="s">
        <v>29</v>
      </c>
      <c r="C38" s="7">
        <v>1645134.0</v>
      </c>
      <c r="D38" s="7">
        <v>161.2972</v>
      </c>
      <c r="E38" s="7">
        <f>IFERROR(__xludf.DUMMYFUNCTION("IF(B38=""PASS"", RANK.EQ(C38, FILTER($C$2:$C$142, $B$2:$B$142=""PASS""), 1) + COUNTIFS($C$2:$C$142, C38, $D$2:$D$142, ""&lt;""&amp;D38, $B$2:$B$142, ""PASS""), """")"),121.0)</f>
        <v>121</v>
      </c>
      <c r="F38" s="8">
        <f t="shared" si="1"/>
        <v>15.34883721</v>
      </c>
      <c r="G38" s="6" t="s">
        <v>29</v>
      </c>
      <c r="H38" s="7">
        <v>8783370.0</v>
      </c>
      <c r="I38" s="7">
        <v>163.2113</v>
      </c>
      <c r="J38" s="7">
        <f>IFERROR(__xludf.DUMMYFUNCTION("IF(G38=""PASS"", RANK.EQ(H38, FILTER($H$2:$H$142, $G$2:$G$142=""PASS""), 1) + COUNTIFS($H$2:$H$142, H38, $I$2:$I$142, ""&lt;""&amp;I38, $G$2:$G$142, ""PASS""), """")"),122.0)</f>
        <v>122</v>
      </c>
      <c r="K38" s="8">
        <f t="shared" si="2"/>
        <v>15.2734375</v>
      </c>
      <c r="L38" s="6" t="s">
        <v>29</v>
      </c>
      <c r="M38" s="7">
        <v>3.7448265E7</v>
      </c>
      <c r="N38" s="7">
        <v>170.1114</v>
      </c>
      <c r="O38" s="7">
        <f>IFERROR(__xludf.DUMMYFUNCTION("IF(L38=""PASS"", RANK.EQ(M38, FILTER($M$2:$M$142, $L$2:$L$142=""PASS""), 1) + COUNTIFS($M$2:$M$142, M38, $N$2:$N$142, ""&lt;""&amp;N38, $L$2:$L$142, ""PASS""), """")"),114.0)</f>
        <v>114</v>
      </c>
      <c r="P38" s="8">
        <f t="shared" si="3"/>
        <v>15.36885246</v>
      </c>
      <c r="Q38" s="6" t="s">
        <v>29</v>
      </c>
      <c r="R38" s="7">
        <v>3.8671251E7</v>
      </c>
      <c r="S38" s="7">
        <v>169.4561</v>
      </c>
      <c r="T38" s="7">
        <f>IFERROR(__xludf.DUMMYFUNCTION("IF(Q38=""PASS"", RANK.EQ(R38, FILTER($R$2:$R$142, $Q$2:$Q$142=""PASS""), 1) + COUNTIFS($R$2:$R$142, R38, $S$2:$S$142, ""&lt;""&amp;S38, $Q$2:$Q$142, ""PASS""), """")"),114.0)</f>
        <v>114</v>
      </c>
      <c r="U38" s="8">
        <f t="shared" si="4"/>
        <v>15.29166667</v>
      </c>
      <c r="V38" s="12" t="s">
        <v>31</v>
      </c>
      <c r="W38" s="13">
        <v>1.34217743E8</v>
      </c>
      <c r="X38" s="13">
        <v>134.8928</v>
      </c>
      <c r="Y38" s="13" t="str">
        <f>IFERROR(__xludf.DUMMYFUNCTION("IF(V38=""PASS"", RANK.EQ(W38, FILTER($W$2:$W$142, $V$2:$V$142=""PASS""), 1) + COUNTIFS($W$2:$W$142, W38, $X$2:$X$142, ""&lt;""&amp;X38, $V$2:$V$142, ""PASS""), """")"),"")</f>
        <v/>
      </c>
      <c r="Z38" s="14">
        <f t="shared" si="5"/>
        <v>15</v>
      </c>
      <c r="AA38" s="10">
        <f t="shared" si="6"/>
        <v>76.28279383</v>
      </c>
      <c r="AB38" s="11" t="b">
        <v>0</v>
      </c>
      <c r="AC38" s="8">
        <f t="shared" si="7"/>
        <v>76.28279383</v>
      </c>
      <c r="AD38" s="7"/>
    </row>
    <row r="39">
      <c r="A39" s="5">
        <v>3.13510206E8</v>
      </c>
      <c r="B39" s="6" t="s">
        <v>29</v>
      </c>
      <c r="C39" s="7">
        <v>783244.0</v>
      </c>
      <c r="D39" s="7">
        <v>0.6142</v>
      </c>
      <c r="E39" s="7">
        <f>IFERROR(__xludf.DUMMYFUNCTION("IF(B39=""PASS"", RANK.EQ(C39, FILTER($C$2:$C$142, $B$2:$B$142=""PASS""), 1) + COUNTIFS($C$2:$C$142, C39, $D$2:$D$142, ""&lt;""&amp;D39, $B$2:$B$142, ""PASS""), """")"),54.0)</f>
        <v>54</v>
      </c>
      <c r="F39" s="8">
        <f t="shared" si="1"/>
        <v>17.94573643</v>
      </c>
      <c r="G39" s="6" t="s">
        <v>29</v>
      </c>
      <c r="H39" s="7">
        <v>3534802.0</v>
      </c>
      <c r="I39" s="7">
        <v>2.9937</v>
      </c>
      <c r="J39" s="7">
        <f>IFERROR(__xludf.DUMMYFUNCTION("IF(G39=""PASS"", RANK.EQ(H39, FILTER($H$2:$H$142, $G$2:$G$142=""PASS""), 1) + COUNTIFS($H$2:$H$142, H39, $I$2:$I$142, ""&lt;""&amp;I39, $G$2:$G$142, ""PASS""), """")"),51.0)</f>
        <v>51</v>
      </c>
      <c r="K39" s="8">
        <f t="shared" si="2"/>
        <v>18.046875</v>
      </c>
      <c r="L39" s="6" t="s">
        <v>29</v>
      </c>
      <c r="M39" s="7">
        <v>1.523698E7</v>
      </c>
      <c r="N39" s="7">
        <v>12.84</v>
      </c>
      <c r="O39" s="7">
        <f>IFERROR(__xludf.DUMMYFUNCTION("IF(L39=""PASS"", RANK.EQ(M39, FILTER($M$2:$M$142, $L$2:$L$142=""PASS""), 1) + COUNTIFS($M$2:$M$142, M39, $N$2:$N$142, ""&lt;""&amp;N39, $L$2:$L$142, ""PASS""), """")"),43.0)</f>
        <v>43</v>
      </c>
      <c r="P39" s="8">
        <f t="shared" si="3"/>
        <v>18.27868852</v>
      </c>
      <c r="Q39" s="6" t="s">
        <v>29</v>
      </c>
      <c r="R39" s="7">
        <v>1.531734E7</v>
      </c>
      <c r="S39" s="7">
        <v>13.1075</v>
      </c>
      <c r="T39" s="7">
        <f>IFERROR(__xludf.DUMMYFUNCTION("IF(Q39=""PASS"", RANK.EQ(R39, FILTER($R$2:$R$142, $Q$2:$Q$142=""PASS""), 1) + COUNTIFS($R$2:$R$142, R39, $S$2:$S$142, ""&lt;""&amp;S39, $Q$2:$Q$142, ""PASS""), """")"),43.0)</f>
        <v>43</v>
      </c>
      <c r="U39" s="8">
        <f t="shared" si="4"/>
        <v>18.25</v>
      </c>
      <c r="V39" s="6" t="s">
        <v>29</v>
      </c>
      <c r="W39" s="7">
        <v>1.28625339E8</v>
      </c>
      <c r="X39" s="7">
        <v>86.1256</v>
      </c>
      <c r="Y39" s="7">
        <f>IFERROR(__xludf.DUMMYFUNCTION("IF(V39=""PASS"", RANK.EQ(W39, FILTER($W$2:$W$142, $V$2:$V$142=""PASS""), 1) + COUNTIFS($W$2:$W$142, W39, $X$2:$X$142, ""&lt;""&amp;X39, $V$2:$V$142, ""PASS""), """")"),41.0)</f>
        <v>41</v>
      </c>
      <c r="Z39" s="8">
        <f t="shared" si="5"/>
        <v>17.59036145</v>
      </c>
      <c r="AA39" s="10">
        <f t="shared" si="6"/>
        <v>90.1116614</v>
      </c>
      <c r="AB39" s="11" t="b">
        <v>0</v>
      </c>
      <c r="AC39" s="8">
        <f t="shared" si="7"/>
        <v>90.1116614</v>
      </c>
      <c r="AD39" s="7"/>
    </row>
    <row r="40">
      <c r="A40" s="5">
        <v>3.13510208E8</v>
      </c>
      <c r="B40" s="6" t="s">
        <v>29</v>
      </c>
      <c r="C40" s="7">
        <v>759983.0</v>
      </c>
      <c r="D40" s="7">
        <v>0.4771</v>
      </c>
      <c r="E40" s="7">
        <f>IFERROR(__xludf.DUMMYFUNCTION("IF(B40=""PASS"", RANK.EQ(C40, FILTER($C$2:$C$142, $B$2:$B$142=""PASS""), 1) + COUNTIFS($C$2:$C$142, C40, $D$2:$D$142, ""&lt;""&amp;D40, $B$2:$B$142, ""PASS""), """")"),52.0)</f>
        <v>52</v>
      </c>
      <c r="F40" s="8">
        <f t="shared" si="1"/>
        <v>18.02325581</v>
      </c>
      <c r="G40" s="6" t="s">
        <v>29</v>
      </c>
      <c r="H40" s="7">
        <v>3385884.0</v>
      </c>
      <c r="I40" s="7">
        <v>2.5278</v>
      </c>
      <c r="J40" s="7">
        <f>IFERROR(__xludf.DUMMYFUNCTION("IF(G40=""PASS"", RANK.EQ(H40, FILTER($H$2:$H$142, $G$2:$G$142=""PASS""), 1) + COUNTIFS($H$2:$H$142, H40, $I$2:$I$142, ""&lt;""&amp;I40, $G$2:$G$142, ""PASS""), """")"),49.0)</f>
        <v>49</v>
      </c>
      <c r="K40" s="8">
        <f t="shared" si="2"/>
        <v>18.125</v>
      </c>
      <c r="L40" s="6" t="s">
        <v>29</v>
      </c>
      <c r="M40" s="7">
        <v>1.4478012E7</v>
      </c>
      <c r="N40" s="7">
        <v>11.2852</v>
      </c>
      <c r="O40" s="7">
        <f>IFERROR(__xludf.DUMMYFUNCTION("IF(L40=""PASS"", RANK.EQ(M40, FILTER($M$2:$M$142, $L$2:$L$142=""PASS""), 1) + COUNTIFS($M$2:$M$142, M40, $N$2:$N$142, ""&lt;""&amp;N40, $L$2:$L$142, ""PASS""), """")"),40.0)</f>
        <v>40</v>
      </c>
      <c r="P40" s="8">
        <f t="shared" si="3"/>
        <v>18.40163934</v>
      </c>
      <c r="Q40" s="6" t="s">
        <v>29</v>
      </c>
      <c r="R40" s="7">
        <v>1.4530091E7</v>
      </c>
      <c r="S40" s="7">
        <v>11.7602</v>
      </c>
      <c r="T40" s="7">
        <f>IFERROR(__xludf.DUMMYFUNCTION("IF(Q40=""PASS"", RANK.EQ(R40, FILTER($R$2:$R$142, $Q$2:$Q$142=""PASS""), 1) + COUNTIFS($R$2:$R$142, R40, $S$2:$S$142, ""&lt;""&amp;S40, $Q$2:$Q$142, ""PASS""), """")"),40.0)</f>
        <v>40</v>
      </c>
      <c r="U40" s="8">
        <f t="shared" si="4"/>
        <v>18.375</v>
      </c>
      <c r="V40" s="6" t="s">
        <v>29</v>
      </c>
      <c r="W40" s="7">
        <v>1.3048947E8</v>
      </c>
      <c r="X40" s="7">
        <v>63.286</v>
      </c>
      <c r="Y40" s="7">
        <f>IFERROR(__xludf.DUMMYFUNCTION("IF(V40=""PASS"", RANK.EQ(W40, FILTER($W$2:$W$142, $V$2:$V$142=""PASS""), 1) + COUNTIFS($W$2:$W$142, W40, $X$2:$X$142, ""&lt;""&amp;X40, $V$2:$V$142, ""PASS""), """")"),65.0)</f>
        <v>65</v>
      </c>
      <c r="Z40" s="8">
        <f t="shared" si="5"/>
        <v>16.14457831</v>
      </c>
      <c r="AA40" s="10">
        <f t="shared" si="6"/>
        <v>89.06947347</v>
      </c>
      <c r="AB40" s="11" t="b">
        <v>0</v>
      </c>
      <c r="AC40" s="8">
        <f t="shared" si="7"/>
        <v>89.06947347</v>
      </c>
      <c r="AD40" s="7"/>
    </row>
    <row r="41">
      <c r="A41" s="5">
        <v>3.1351021E8</v>
      </c>
      <c r="B41" s="6" t="s">
        <v>29</v>
      </c>
      <c r="C41" s="7">
        <v>1152104.0</v>
      </c>
      <c r="D41" s="7">
        <v>0.3526</v>
      </c>
      <c r="E41" s="7">
        <f>IFERROR(__xludf.DUMMYFUNCTION("IF(B41=""PASS"", RANK.EQ(C41, FILTER($C$2:$C$142, $B$2:$B$142=""PASS""), 1) + COUNTIFS($C$2:$C$142, C41, $D$2:$D$142, ""&lt;""&amp;D41, $B$2:$B$142, ""PASS""), """")"),108.0)</f>
        <v>108</v>
      </c>
      <c r="F41" s="8">
        <f t="shared" si="1"/>
        <v>15.85271318</v>
      </c>
      <c r="G41" s="6" t="s">
        <v>29</v>
      </c>
      <c r="H41" s="7">
        <v>5924282.0</v>
      </c>
      <c r="I41" s="7">
        <v>1.7048</v>
      </c>
      <c r="J41" s="7">
        <f>IFERROR(__xludf.DUMMYFUNCTION("IF(G41=""PASS"", RANK.EQ(H41, FILTER($H$2:$H$142, $G$2:$G$142=""PASS""), 1) + COUNTIFS($H$2:$H$142, H41, $I$2:$I$142, ""&lt;""&amp;I41, $G$2:$G$142, ""PASS""), """")"),98.0)</f>
        <v>98</v>
      </c>
      <c r="K41" s="8">
        <f t="shared" si="2"/>
        <v>16.2109375</v>
      </c>
      <c r="L41" s="6" t="s">
        <v>29</v>
      </c>
      <c r="M41" s="7">
        <v>2.5362451E7</v>
      </c>
      <c r="N41" s="7">
        <v>7.341</v>
      </c>
      <c r="O41" s="7">
        <f>IFERROR(__xludf.DUMMYFUNCTION("IF(L41=""PASS"", RANK.EQ(M41, FILTER($M$2:$M$142, $L$2:$L$142=""PASS""), 1) + COUNTIFS($M$2:$M$142, M41, $N$2:$N$142, ""&lt;""&amp;N41, $L$2:$L$142, ""PASS""), """")"),88.0)</f>
        <v>88</v>
      </c>
      <c r="P41" s="8">
        <f t="shared" si="3"/>
        <v>16.43442623</v>
      </c>
      <c r="Q41" s="6" t="s">
        <v>29</v>
      </c>
      <c r="R41" s="7">
        <v>2.6106256E7</v>
      </c>
      <c r="S41" s="7">
        <v>7.4446</v>
      </c>
      <c r="T41" s="7">
        <f>IFERROR(__xludf.DUMMYFUNCTION("IF(Q41=""PASS"", RANK.EQ(R41, FILTER($R$2:$R$142, $Q$2:$Q$142=""PASS""), 1) + COUNTIFS($R$2:$R$142, R41, $S$2:$S$142, ""&lt;""&amp;S41, $Q$2:$Q$142, ""PASS""), """")"),88.0)</f>
        <v>88</v>
      </c>
      <c r="U41" s="8">
        <f t="shared" si="4"/>
        <v>16.375</v>
      </c>
      <c r="V41" s="6" t="s">
        <v>29</v>
      </c>
      <c r="W41" s="7">
        <v>1.28625339E8</v>
      </c>
      <c r="X41" s="7">
        <v>25.6191</v>
      </c>
      <c r="Y41" s="7">
        <f>IFERROR(__xludf.DUMMYFUNCTION("IF(V41=""PASS"", RANK.EQ(W41, FILTER($W$2:$W$142, $V$2:$V$142=""PASS""), 1) + COUNTIFS($W$2:$W$142, W41, $X$2:$X$142, ""&lt;""&amp;X41, $V$2:$V$142, ""PASS""), """")"),19.0)</f>
        <v>19</v>
      </c>
      <c r="Z41" s="8">
        <f t="shared" si="5"/>
        <v>18.91566265</v>
      </c>
      <c r="AA41" s="10">
        <f t="shared" si="6"/>
        <v>83.78873956</v>
      </c>
      <c r="AB41" s="11" t="b">
        <v>0</v>
      </c>
      <c r="AC41" s="8">
        <f t="shared" si="7"/>
        <v>83.78873956</v>
      </c>
      <c r="AD41" s="7"/>
    </row>
    <row r="42">
      <c r="A42" s="5">
        <v>3.13510211E8</v>
      </c>
      <c r="B42" s="6" t="s">
        <v>29</v>
      </c>
      <c r="C42" s="7">
        <v>709964.0</v>
      </c>
      <c r="D42" s="7">
        <v>0.2839</v>
      </c>
      <c r="E42" s="7">
        <f>IFERROR(__xludf.DUMMYFUNCTION("IF(B42=""PASS"", RANK.EQ(C42, FILTER($C$2:$C$142, $B$2:$B$142=""PASS""), 1) + COUNTIFS($C$2:$C$142, C42, $D$2:$D$142, ""&lt;""&amp;D42, $B$2:$B$142, ""PASS""), """")"),47.0)</f>
        <v>47</v>
      </c>
      <c r="F42" s="8">
        <f t="shared" si="1"/>
        <v>18.21705426</v>
      </c>
      <c r="G42" s="6" t="s">
        <v>29</v>
      </c>
      <c r="H42" s="7">
        <v>3101454.0</v>
      </c>
      <c r="I42" s="7">
        <v>1.2987</v>
      </c>
      <c r="J42" s="7">
        <f>IFERROR(__xludf.DUMMYFUNCTION("IF(G42=""PASS"", RANK.EQ(H42, FILTER($H$2:$H$142, $G$2:$G$142=""PASS""), 1) + COUNTIFS($H$2:$H$142, H42, $I$2:$I$142, ""&lt;""&amp;I42, $G$2:$G$142, ""PASS""), """")"),45.0)</f>
        <v>45</v>
      </c>
      <c r="K42" s="8">
        <f t="shared" si="2"/>
        <v>18.28125</v>
      </c>
      <c r="L42" s="6" t="s">
        <v>29</v>
      </c>
      <c r="M42" s="7">
        <v>1.3292928E7</v>
      </c>
      <c r="N42" s="7">
        <v>5.5426</v>
      </c>
      <c r="O42" s="7">
        <f>IFERROR(__xludf.DUMMYFUNCTION("IF(L42=""PASS"", RANK.EQ(M42, FILTER($M$2:$M$142, $L$2:$L$142=""PASS""), 1) + COUNTIFS($M$2:$M$142, M42, $N$2:$N$142, ""&lt;""&amp;N42, $L$2:$L$142, ""PASS""), """")"),37.0)</f>
        <v>37</v>
      </c>
      <c r="P42" s="8">
        <f t="shared" si="3"/>
        <v>18.52459016</v>
      </c>
      <c r="Q42" s="6" t="s">
        <v>29</v>
      </c>
      <c r="R42" s="7">
        <v>1.3295589E7</v>
      </c>
      <c r="S42" s="7">
        <v>5.6235</v>
      </c>
      <c r="T42" s="7">
        <f>IFERROR(__xludf.DUMMYFUNCTION("IF(Q42=""PASS"", RANK.EQ(R42, FILTER($R$2:$R$142, $Q$2:$Q$142=""PASS""), 1) + COUNTIFS($R$2:$R$142, R42, $S$2:$S$142, ""&lt;""&amp;S42, $Q$2:$Q$142, ""PASS""), """")"),37.0)</f>
        <v>37</v>
      </c>
      <c r="U42" s="8">
        <f t="shared" si="4"/>
        <v>18.5</v>
      </c>
      <c r="V42" s="6" t="s">
        <v>29</v>
      </c>
      <c r="W42" s="7">
        <v>1.28625339E8</v>
      </c>
      <c r="X42" s="7">
        <v>40.1954</v>
      </c>
      <c r="Y42" s="7">
        <f>IFERROR(__xludf.DUMMYFUNCTION("IF(V42=""PASS"", RANK.EQ(W42, FILTER($W$2:$W$142, $V$2:$V$142=""PASS""), 1) + COUNTIFS($W$2:$W$142, W42, $X$2:$X$142, ""&lt;""&amp;X42, $V$2:$V$142, ""PASS""), """")"),29.0)</f>
        <v>29</v>
      </c>
      <c r="Z42" s="8">
        <f t="shared" si="5"/>
        <v>18.31325301</v>
      </c>
      <c r="AA42" s="10">
        <f t="shared" si="6"/>
        <v>91.83614744</v>
      </c>
      <c r="AB42" s="11" t="b">
        <v>0</v>
      </c>
      <c r="AC42" s="8">
        <f t="shared" si="7"/>
        <v>91.83614744</v>
      </c>
      <c r="AD42" s="7"/>
    </row>
    <row r="43">
      <c r="A43" s="5">
        <v>3.13510212E8</v>
      </c>
      <c r="B43" s="6" t="s">
        <v>29</v>
      </c>
      <c r="C43" s="7">
        <v>1222518.0</v>
      </c>
      <c r="D43" s="7">
        <v>1.1963</v>
      </c>
      <c r="E43" s="7">
        <f>IFERROR(__xludf.DUMMYFUNCTION("IF(B43=""PASS"", RANK.EQ(C43, FILTER($C$2:$C$142, $B$2:$B$142=""PASS""), 1) + COUNTIFS($C$2:$C$142, C43, $D$2:$D$142, ""&lt;""&amp;D43, $B$2:$B$142, ""PASS""), """")"),113.0)</f>
        <v>113</v>
      </c>
      <c r="F43" s="8">
        <f t="shared" si="1"/>
        <v>15.65891473</v>
      </c>
      <c r="G43" s="6" t="s">
        <v>29</v>
      </c>
      <c r="H43" s="7">
        <v>6240537.0</v>
      </c>
      <c r="I43" s="7">
        <v>6.901</v>
      </c>
      <c r="J43" s="7">
        <f>IFERROR(__xludf.DUMMYFUNCTION("IF(G43=""PASS"", RANK.EQ(H43, FILTER($H$2:$H$142, $G$2:$G$142=""PASS""), 1) + COUNTIFS($H$2:$H$142, H43, $I$2:$I$142, ""&lt;""&amp;I43, $G$2:$G$142, ""PASS""), """")"),101.0)</f>
        <v>101</v>
      </c>
      <c r="K43" s="8">
        <f t="shared" si="2"/>
        <v>16.09375</v>
      </c>
      <c r="L43" s="6" t="s">
        <v>29</v>
      </c>
      <c r="M43" s="7">
        <v>2.679694E7</v>
      </c>
      <c r="N43" s="7">
        <v>31.4605</v>
      </c>
      <c r="O43" s="7">
        <f>IFERROR(__xludf.DUMMYFUNCTION("IF(L43=""PASS"", RANK.EQ(M43, FILTER($M$2:$M$142, $L$2:$L$142=""PASS""), 1) + COUNTIFS($M$2:$M$142, M43, $N$2:$N$142, ""&lt;""&amp;N43, $L$2:$L$142, ""PASS""), """")"),94.0)</f>
        <v>94</v>
      </c>
      <c r="P43" s="8">
        <f t="shared" si="3"/>
        <v>16.18852459</v>
      </c>
      <c r="Q43" s="6" t="s">
        <v>29</v>
      </c>
      <c r="R43" s="7">
        <v>2.7535516E7</v>
      </c>
      <c r="S43" s="7">
        <v>32.5801</v>
      </c>
      <c r="T43" s="7">
        <f>IFERROR(__xludf.DUMMYFUNCTION("IF(Q43=""PASS"", RANK.EQ(R43, FILTER($R$2:$R$142, $Q$2:$Q$142=""PASS""), 1) + COUNTIFS($R$2:$R$142, R43, $S$2:$S$142, ""&lt;""&amp;S43, $Q$2:$Q$142, ""PASS""), """")"),94.0)</f>
        <v>94</v>
      </c>
      <c r="U43" s="8">
        <f t="shared" si="4"/>
        <v>16.125</v>
      </c>
      <c r="V43" s="6" t="s">
        <v>29</v>
      </c>
      <c r="W43" s="7">
        <v>1.28625339E8</v>
      </c>
      <c r="X43" s="7">
        <v>117.6509</v>
      </c>
      <c r="Y43" s="7">
        <f>IFERROR(__xludf.DUMMYFUNCTION("IF(V43=""PASS"", RANK.EQ(W43, FILTER($W$2:$W$142, $V$2:$V$142=""PASS""), 1) + COUNTIFS($W$2:$W$142, W43, $X$2:$X$142, ""&lt;""&amp;X43, $V$2:$V$142, ""PASS""), """")"),46.0)</f>
        <v>46</v>
      </c>
      <c r="Z43" s="8">
        <f t="shared" si="5"/>
        <v>17.28915663</v>
      </c>
      <c r="AA43" s="10">
        <f t="shared" si="6"/>
        <v>81.35534595</v>
      </c>
      <c r="AB43" s="11" t="b">
        <v>0</v>
      </c>
      <c r="AC43" s="8">
        <f t="shared" si="7"/>
        <v>81.35534595</v>
      </c>
      <c r="AD43" s="7"/>
    </row>
    <row r="44">
      <c r="A44" s="5">
        <v>3.13510213E8</v>
      </c>
      <c r="B44" s="6" t="s">
        <v>29</v>
      </c>
      <c r="C44" s="7">
        <v>612782.0</v>
      </c>
      <c r="D44" s="7">
        <v>2.7518</v>
      </c>
      <c r="E44" s="7">
        <f>IFERROR(__xludf.DUMMYFUNCTION("IF(B44=""PASS"", RANK.EQ(C44, FILTER($C$2:$C$142, $B$2:$B$142=""PASS""), 1) + COUNTIFS($C$2:$C$142, C44, $D$2:$D$142, ""&lt;""&amp;D44, $B$2:$B$142, ""PASS""), """")"),3.0)</f>
        <v>3</v>
      </c>
      <c r="F44" s="8">
        <f t="shared" si="1"/>
        <v>19.92248062</v>
      </c>
      <c r="G44" s="6" t="s">
        <v>29</v>
      </c>
      <c r="H44" s="7">
        <v>2608469.0</v>
      </c>
      <c r="I44" s="7">
        <v>15.7373</v>
      </c>
      <c r="J44" s="7">
        <f>IFERROR(__xludf.DUMMYFUNCTION("IF(G44=""PASS"", RANK.EQ(H44, FILTER($H$2:$H$142, $G$2:$G$142=""PASS""), 1) + COUNTIFS($H$2:$H$142, H44, $I$2:$I$142, ""&lt;""&amp;I44, $G$2:$G$142, ""PASS""), """")"),6.0)</f>
        <v>6</v>
      </c>
      <c r="K44" s="8">
        <f t="shared" si="2"/>
        <v>19.8046875</v>
      </c>
      <c r="L44" s="6" t="s">
        <v>29</v>
      </c>
      <c r="M44" s="7">
        <v>1.2369391E7</v>
      </c>
      <c r="N44" s="7">
        <v>19.891</v>
      </c>
      <c r="O44" s="7">
        <f>IFERROR(__xludf.DUMMYFUNCTION("IF(L44=""PASS"", RANK.EQ(M44, FILTER($M$2:$M$142, $L$2:$L$142=""PASS""), 1) + COUNTIFS($M$2:$M$142, M44, $N$2:$N$142, ""&lt;""&amp;N44, $L$2:$L$142, ""PASS""), """")"),13.0)</f>
        <v>13</v>
      </c>
      <c r="P44" s="8">
        <f t="shared" si="3"/>
        <v>19.50819672</v>
      </c>
      <c r="Q44" s="6" t="s">
        <v>29</v>
      </c>
      <c r="R44" s="7">
        <v>1.2286132E7</v>
      </c>
      <c r="S44" s="7">
        <v>22.5873</v>
      </c>
      <c r="T44" s="7">
        <f>IFERROR(__xludf.DUMMYFUNCTION("IF(Q44=""PASS"", RANK.EQ(R44, FILTER($R$2:$R$142, $Q$2:$Q$142=""PASS""), 1) + COUNTIFS($R$2:$R$142, R44, $S$2:$S$142, ""&lt;""&amp;S44, $Q$2:$Q$142, ""PASS""), """")"),13.0)</f>
        <v>13</v>
      </c>
      <c r="U44" s="8">
        <f t="shared" si="4"/>
        <v>19.5</v>
      </c>
      <c r="V44" s="6" t="s">
        <v>29</v>
      </c>
      <c r="W44" s="7">
        <v>1.28625339E8</v>
      </c>
      <c r="X44" s="7">
        <v>29.976</v>
      </c>
      <c r="Y44" s="7">
        <f>IFERROR(__xludf.DUMMYFUNCTION("IF(V44=""PASS"", RANK.EQ(W44, FILTER($W$2:$W$142, $V$2:$V$142=""PASS""), 1) + COUNTIFS($W$2:$W$142, W44, $X$2:$X$142, ""&lt;""&amp;X44, $V$2:$V$142, ""PASS""), """")"),22.0)</f>
        <v>22</v>
      </c>
      <c r="Z44" s="8">
        <f t="shared" si="5"/>
        <v>18.73493976</v>
      </c>
      <c r="AA44" s="10">
        <f t="shared" si="6"/>
        <v>97.4703046</v>
      </c>
      <c r="AB44" s="11" t="b">
        <v>0</v>
      </c>
      <c r="AC44" s="8">
        <f t="shared" si="7"/>
        <v>97.4703046</v>
      </c>
      <c r="AD44" s="7"/>
    </row>
    <row r="45">
      <c r="A45" s="5">
        <v>3.13510225E8</v>
      </c>
      <c r="B45" s="6" t="s">
        <v>29</v>
      </c>
      <c r="C45" s="7">
        <v>651847.0</v>
      </c>
      <c r="D45" s="7">
        <v>0.3729</v>
      </c>
      <c r="E45" s="7">
        <f>IFERROR(__xludf.DUMMYFUNCTION("IF(B45=""PASS"", RANK.EQ(C45, FILTER($C$2:$C$142, $B$2:$B$142=""PASS""), 1) + COUNTIFS($C$2:$C$142, C45, $D$2:$D$142, ""&lt;""&amp;D45, $B$2:$B$142, ""PASS""), """")"),14.0)</f>
        <v>14</v>
      </c>
      <c r="F45" s="8">
        <f t="shared" si="1"/>
        <v>19.49612403</v>
      </c>
      <c r="G45" s="6" t="s">
        <v>29</v>
      </c>
      <c r="H45" s="7">
        <v>2817899.0</v>
      </c>
      <c r="I45" s="7">
        <v>2.0363</v>
      </c>
      <c r="J45" s="7">
        <f>IFERROR(__xludf.DUMMYFUNCTION("IF(G45=""PASS"", RANK.EQ(H45, FILTER($H$2:$H$142, $G$2:$G$142=""PASS""), 1) + COUNTIFS($H$2:$H$142, H45, $I$2:$I$142, ""&lt;""&amp;I45, $G$2:$G$142, ""PASS""), """")"),16.0)</f>
        <v>16</v>
      </c>
      <c r="K45" s="8">
        <f t="shared" si="2"/>
        <v>19.4140625</v>
      </c>
      <c r="L45" s="6" t="s">
        <v>29</v>
      </c>
      <c r="M45" s="7">
        <v>1.2038185E7</v>
      </c>
      <c r="N45" s="7">
        <v>21.7415</v>
      </c>
      <c r="O45" s="7">
        <f>IFERROR(__xludf.DUMMYFUNCTION("IF(L45=""PASS"", RANK.EQ(M45, FILTER($M$2:$M$142, $L$2:$L$142=""PASS""), 1) + COUNTIFS($M$2:$M$142, M45, $N$2:$N$142, ""&lt;""&amp;N45, $L$2:$L$142, ""PASS""), """")"),11.0)</f>
        <v>11</v>
      </c>
      <c r="P45" s="8">
        <f t="shared" si="3"/>
        <v>19.59016393</v>
      </c>
      <c r="Q45" s="6" t="s">
        <v>29</v>
      </c>
      <c r="R45" s="7">
        <v>1.2049181E7</v>
      </c>
      <c r="S45" s="7">
        <v>22.5946</v>
      </c>
      <c r="T45" s="7">
        <f>IFERROR(__xludf.DUMMYFUNCTION("IF(Q45=""PASS"", RANK.EQ(R45, FILTER($R$2:$R$142, $Q$2:$Q$142=""PASS""), 1) + COUNTIFS($R$2:$R$142, R45, $S$2:$S$142, ""&lt;""&amp;S45, $Q$2:$Q$142, ""PASS""), """")"),11.0)</f>
        <v>11</v>
      </c>
      <c r="U45" s="8">
        <f t="shared" si="4"/>
        <v>19.58333333</v>
      </c>
      <c r="V45" s="6" t="s">
        <v>29</v>
      </c>
      <c r="W45" s="7">
        <v>1.28625339E8</v>
      </c>
      <c r="X45" s="7">
        <v>18.5009</v>
      </c>
      <c r="Y45" s="7">
        <f>IFERROR(__xludf.DUMMYFUNCTION("IF(V45=""PASS"", RANK.EQ(W45, FILTER($W$2:$W$142, $V$2:$V$142=""PASS""), 1) + COUNTIFS($W$2:$W$142, W45, $X$2:$X$142, ""&lt;""&amp;X45, $V$2:$V$142, ""PASS""), """")"),13.0)</f>
        <v>13</v>
      </c>
      <c r="Z45" s="8">
        <f t="shared" si="5"/>
        <v>19.27710843</v>
      </c>
      <c r="AA45" s="10">
        <f t="shared" si="6"/>
        <v>97.36079223</v>
      </c>
      <c r="AB45" s="11" t="b">
        <v>0</v>
      </c>
      <c r="AC45" s="8">
        <f t="shared" si="7"/>
        <v>97.36079223</v>
      </c>
      <c r="AD45" s="7"/>
    </row>
    <row r="46">
      <c r="A46" s="5">
        <v>3.13510226E8</v>
      </c>
      <c r="B46" s="6" t="s">
        <v>29</v>
      </c>
      <c r="C46" s="7">
        <v>620349.0</v>
      </c>
      <c r="D46" s="7">
        <v>1.2335</v>
      </c>
      <c r="E46" s="7">
        <f>IFERROR(__xludf.DUMMYFUNCTION("IF(B46=""PASS"", RANK.EQ(C46, FILTER($C$2:$C$142, $B$2:$B$142=""PASS""), 1) + COUNTIFS($C$2:$C$142, C46, $D$2:$D$142, ""&lt;""&amp;D46, $B$2:$B$142, ""PASS""), """")"),6.0)</f>
        <v>6</v>
      </c>
      <c r="F46" s="8">
        <f t="shared" si="1"/>
        <v>19.80620155</v>
      </c>
      <c r="G46" s="6" t="s">
        <v>29</v>
      </c>
      <c r="H46" s="7">
        <v>2533975.0</v>
      </c>
      <c r="I46" s="7">
        <v>12.0882</v>
      </c>
      <c r="J46" s="7">
        <f>IFERROR(__xludf.DUMMYFUNCTION("IF(G46=""PASS"", RANK.EQ(H46, FILTER($H$2:$H$142, $G$2:$G$142=""PASS""), 1) + COUNTIFS($H$2:$H$142, H46, $I$2:$I$142, ""&lt;""&amp;I46, $G$2:$G$142, ""PASS""), """")"),3.0)</f>
        <v>3</v>
      </c>
      <c r="K46" s="8">
        <f t="shared" si="2"/>
        <v>19.921875</v>
      </c>
      <c r="L46" s="6" t="s">
        <v>29</v>
      </c>
      <c r="M46" s="7">
        <v>1.0734746E7</v>
      </c>
      <c r="N46" s="7">
        <v>64.0269</v>
      </c>
      <c r="O46" s="7">
        <f>IFERROR(__xludf.DUMMYFUNCTION("IF(L46=""PASS"", RANK.EQ(M46, FILTER($M$2:$M$142, $L$2:$L$142=""PASS""), 1) + COUNTIFS($M$2:$M$142, M46, $N$2:$N$142, ""&lt;""&amp;N46, $L$2:$L$142, ""PASS""), """")"),2.0)</f>
        <v>2</v>
      </c>
      <c r="P46" s="8">
        <f t="shared" si="3"/>
        <v>19.95901639</v>
      </c>
      <c r="Q46" s="6" t="s">
        <v>29</v>
      </c>
      <c r="R46" s="7">
        <v>1.0676067E7</v>
      </c>
      <c r="S46" s="7">
        <v>68.2103</v>
      </c>
      <c r="T46" s="7">
        <f>IFERROR(__xludf.DUMMYFUNCTION("IF(Q46=""PASS"", RANK.EQ(R46, FILTER($R$2:$R$142, $Q$2:$Q$142=""PASS""), 1) + COUNTIFS($R$2:$R$142, R46, $S$2:$S$142, ""&lt;""&amp;S46, $Q$2:$Q$142, ""PASS""), """")"),2.0)</f>
        <v>2</v>
      </c>
      <c r="U46" s="8">
        <f t="shared" si="4"/>
        <v>19.95833333</v>
      </c>
      <c r="V46" s="6" t="s">
        <v>29</v>
      </c>
      <c r="W46" s="7">
        <v>1.28625679E8</v>
      </c>
      <c r="X46" s="7">
        <v>106.0991</v>
      </c>
      <c r="Y46" s="7">
        <f>IFERROR(__xludf.DUMMYFUNCTION("IF(V46=""PASS"", RANK.EQ(W46, FILTER($W$2:$W$142, $V$2:$V$142=""PASS""), 1) + COUNTIFS($W$2:$W$142, W46, $X$2:$X$142, ""&lt;""&amp;X46, $V$2:$V$142, ""PASS""), """")"),59.0)</f>
        <v>59</v>
      </c>
      <c r="Z46" s="8">
        <f t="shared" si="5"/>
        <v>16.5060241</v>
      </c>
      <c r="AA46" s="10">
        <f t="shared" si="6"/>
        <v>96.15145037</v>
      </c>
      <c r="AB46" s="11" t="b">
        <v>0</v>
      </c>
      <c r="AC46" s="8">
        <f t="shared" si="7"/>
        <v>96.15145037</v>
      </c>
      <c r="AD46" s="7"/>
    </row>
    <row r="47">
      <c r="A47" s="5">
        <v>3.13510227E8</v>
      </c>
      <c r="B47" s="6" t="s">
        <v>29</v>
      </c>
      <c r="C47" s="7">
        <v>1035734.0</v>
      </c>
      <c r="D47" s="7">
        <v>54.2185</v>
      </c>
      <c r="E47" s="7">
        <f>IFERROR(__xludf.DUMMYFUNCTION("IF(B47=""PASS"", RANK.EQ(C47, FILTER($C$2:$C$142, $B$2:$B$142=""PASS""), 1) + COUNTIFS($C$2:$C$142, C47, $D$2:$D$142, ""&lt;""&amp;D47, $B$2:$B$142, ""PASS""), """")"),93.0)</f>
        <v>93</v>
      </c>
      <c r="F47" s="8">
        <f t="shared" si="1"/>
        <v>16.43410853</v>
      </c>
      <c r="G47" s="6" t="s">
        <v>29</v>
      </c>
      <c r="H47" s="7">
        <v>8435750.0</v>
      </c>
      <c r="I47" s="7">
        <v>160.3249</v>
      </c>
      <c r="J47" s="7">
        <f>IFERROR(__xludf.DUMMYFUNCTION("IF(G47=""PASS"", RANK.EQ(H47, FILTER($H$2:$H$142, $G$2:$G$142=""PASS""), 1) + COUNTIFS($H$2:$H$142, H47, $I$2:$I$142, ""&lt;""&amp;I47, $G$2:$G$142, ""PASS""), """")"),113.0)</f>
        <v>113</v>
      </c>
      <c r="K47" s="8">
        <f t="shared" si="2"/>
        <v>15.625</v>
      </c>
      <c r="L47" s="6" t="s">
        <v>29</v>
      </c>
      <c r="M47" s="7">
        <v>3.7355008E7</v>
      </c>
      <c r="N47" s="7">
        <v>161.3507</v>
      </c>
      <c r="O47" s="7">
        <f>IFERROR(__xludf.DUMMYFUNCTION("IF(L47=""PASS"", RANK.EQ(M47, FILTER($M$2:$M$142, $L$2:$L$142=""PASS""), 1) + COUNTIFS($M$2:$M$142, M47, $N$2:$N$142, ""&lt;""&amp;N47, $L$2:$L$142, ""PASS""), """")"),108.0)</f>
        <v>108</v>
      </c>
      <c r="P47" s="8">
        <f t="shared" si="3"/>
        <v>15.6147541</v>
      </c>
      <c r="Q47" s="6" t="s">
        <v>29</v>
      </c>
      <c r="R47" s="7">
        <v>3.8580863E7</v>
      </c>
      <c r="S47" s="7">
        <v>161.3581</v>
      </c>
      <c r="T47" s="7">
        <f>IFERROR(__xludf.DUMMYFUNCTION("IF(Q47=""PASS"", RANK.EQ(R47, FILTER($R$2:$R$142, $Q$2:$Q$142=""PASS""), 1) + COUNTIFS($R$2:$R$142, R47, $S$2:$S$142, ""&lt;""&amp;S47, $Q$2:$Q$142, ""PASS""), """")"),106.0)</f>
        <v>106</v>
      </c>
      <c r="U47" s="8">
        <f t="shared" si="4"/>
        <v>15.625</v>
      </c>
      <c r="V47" s="6" t="s">
        <v>29</v>
      </c>
      <c r="W47" s="7">
        <v>1.34217127E8</v>
      </c>
      <c r="X47" s="7">
        <v>164.1607</v>
      </c>
      <c r="Y47" s="7">
        <f>IFERROR(__xludf.DUMMYFUNCTION("IF(V47=""PASS"", RANK.EQ(W47, FILTER($W$2:$W$142, $V$2:$V$142=""PASS""), 1) + COUNTIFS($W$2:$W$142, W47, $X$2:$X$142, ""&lt;""&amp;X47, $V$2:$V$142, ""PASS""), """")"),76.0)</f>
        <v>76</v>
      </c>
      <c r="Z47" s="8">
        <f t="shared" si="5"/>
        <v>15.48192771</v>
      </c>
      <c r="AA47" s="10">
        <f t="shared" si="6"/>
        <v>78.78079034</v>
      </c>
      <c r="AB47" s="11" t="b">
        <v>0</v>
      </c>
      <c r="AC47" s="8">
        <f t="shared" si="7"/>
        <v>78.78079034</v>
      </c>
      <c r="AD47" s="7"/>
    </row>
    <row r="48">
      <c r="A48" s="5">
        <v>3.13510228E8</v>
      </c>
      <c r="B48" s="12" t="s">
        <v>31</v>
      </c>
      <c r="C48" s="13">
        <v>783244.0</v>
      </c>
      <c r="D48" s="13">
        <v>2.7592</v>
      </c>
      <c r="E48" s="13" t="str">
        <f>IFERROR(__xludf.DUMMYFUNCTION("IF(B48=""PASS"", RANK.EQ(C48, FILTER($C$2:$C$142, $B$2:$B$142=""PASS""), 1) + COUNTIFS($C$2:$C$142, C48, $D$2:$D$142, ""&lt;""&amp;D48, $B$2:$B$142, ""PASS""), """")"),"")</f>
        <v/>
      </c>
      <c r="F48" s="14">
        <f t="shared" si="1"/>
        <v>15</v>
      </c>
      <c r="G48" s="12" t="s">
        <v>31</v>
      </c>
      <c r="H48" s="13">
        <v>3534802.0</v>
      </c>
      <c r="I48" s="13">
        <v>14.0991</v>
      </c>
      <c r="J48" s="13" t="str">
        <f>IFERROR(__xludf.DUMMYFUNCTION("IF(G48=""PASS"", RANK.EQ(H48, FILTER($H$2:$H$142, $G$2:$G$142=""PASS""), 1) + COUNTIFS($H$2:$H$142, H48, $I$2:$I$142, ""&lt;""&amp;I48, $G$2:$G$142, ""PASS""), """")"),"")</f>
        <v/>
      </c>
      <c r="K48" s="14">
        <f t="shared" si="2"/>
        <v>15</v>
      </c>
      <c r="L48" s="12" t="s">
        <v>31</v>
      </c>
      <c r="M48" s="13">
        <v>1.523698E7</v>
      </c>
      <c r="N48" s="13">
        <v>60.345</v>
      </c>
      <c r="O48" s="13" t="str">
        <f>IFERROR(__xludf.DUMMYFUNCTION("IF(L48=""PASS"", RANK.EQ(M48, FILTER($M$2:$M$142, $L$2:$L$142=""PASS""), 1) + COUNTIFS($M$2:$M$142, M48, $N$2:$N$142, ""&lt;""&amp;N48, $L$2:$L$142, ""PASS""), """")"),"")</f>
        <v/>
      </c>
      <c r="P48" s="14">
        <f t="shared" si="3"/>
        <v>15</v>
      </c>
      <c r="Q48" s="12" t="s">
        <v>31</v>
      </c>
      <c r="R48" s="13">
        <v>1.531734E7</v>
      </c>
      <c r="S48" s="13">
        <v>61.882</v>
      </c>
      <c r="T48" s="13" t="str">
        <f>IFERROR(__xludf.DUMMYFUNCTION("IF(Q48=""PASS"", RANK.EQ(R48, FILTER($R$2:$R$142, $Q$2:$Q$142=""PASS""), 1) + COUNTIFS($R$2:$R$142, R48, $S$2:$S$142, ""&lt;""&amp;S48, $Q$2:$Q$142, ""PASS""), """")"),"")</f>
        <v/>
      </c>
      <c r="U48" s="14">
        <f t="shared" si="4"/>
        <v>15</v>
      </c>
      <c r="V48" s="6" t="s">
        <v>30</v>
      </c>
      <c r="W48" s="7"/>
      <c r="X48" s="7">
        <v>180.0953</v>
      </c>
      <c r="Y48" s="7" t="str">
        <f>IFERROR(__xludf.DUMMYFUNCTION("IF(V48=""PASS"", RANK.EQ(W48, FILTER($W$2:$W$142, $V$2:$V$142=""PASS""), 1) + COUNTIFS($W$2:$W$142, W48, $X$2:$X$142, ""&lt;""&amp;X48, $V$2:$V$142, ""PASS""), """")"),"")</f>
        <v/>
      </c>
      <c r="Z48" s="8">
        <f t="shared" si="5"/>
        <v>0</v>
      </c>
      <c r="AA48" s="10">
        <f t="shared" si="6"/>
        <v>60</v>
      </c>
      <c r="AB48" s="11" t="b">
        <v>0</v>
      </c>
      <c r="AC48" s="8">
        <f t="shared" si="7"/>
        <v>60</v>
      </c>
      <c r="AD48" s="7"/>
    </row>
    <row r="49">
      <c r="A49" s="5">
        <v>3.13510229E8</v>
      </c>
      <c r="B49" s="6" t="s">
        <v>29</v>
      </c>
      <c r="C49" s="7">
        <v>1686041.0</v>
      </c>
      <c r="D49" s="7">
        <v>0.0708</v>
      </c>
      <c r="E49" s="7">
        <f>IFERROR(__xludf.DUMMYFUNCTION("IF(B49=""PASS"", RANK.EQ(C49, FILTER($C$2:$C$142, $B$2:$B$142=""PASS""), 1) + COUNTIFS($C$2:$C$142, C49, $D$2:$D$142, ""&lt;""&amp;D49, $B$2:$B$142, ""PASS""), """")"),127.0)</f>
        <v>127</v>
      </c>
      <c r="F49" s="8">
        <f t="shared" si="1"/>
        <v>15.11627907</v>
      </c>
      <c r="G49" s="6" t="s">
        <v>29</v>
      </c>
      <c r="H49" s="7">
        <v>8790279.0</v>
      </c>
      <c r="I49" s="7">
        <v>0.3386</v>
      </c>
      <c r="J49" s="7">
        <f>IFERROR(__xludf.DUMMYFUNCTION("IF(G49=""PASS"", RANK.EQ(H49, FILTER($H$2:$H$142, $G$2:$G$142=""PASS""), 1) + COUNTIFS($H$2:$H$142, H49, $I$2:$I$142, ""&lt;""&amp;I49, $G$2:$G$142, ""PASS""), """")"),126.0)</f>
        <v>126</v>
      </c>
      <c r="K49" s="8">
        <f t="shared" si="2"/>
        <v>15.1171875</v>
      </c>
      <c r="L49" s="6" t="s">
        <v>29</v>
      </c>
      <c r="M49" s="7">
        <v>3.7449829E7</v>
      </c>
      <c r="N49" s="7">
        <v>1.4413</v>
      </c>
      <c r="O49" s="7">
        <f>IFERROR(__xludf.DUMMYFUNCTION("IF(L49=""PASS"", RANK.EQ(M49, FILTER($M$2:$M$142, $L$2:$L$142=""PASS""), 1) + COUNTIFS($M$2:$M$142, M49, $N$2:$N$142, ""&lt;""&amp;N49, $L$2:$L$142, ""PASS""), """")"),119.0)</f>
        <v>119</v>
      </c>
      <c r="P49" s="8">
        <f t="shared" si="3"/>
        <v>15.16393443</v>
      </c>
      <c r="Q49" s="6" t="s">
        <v>29</v>
      </c>
      <c r="R49" s="7">
        <v>3.8672677E7</v>
      </c>
      <c r="S49" s="7">
        <v>1.4844</v>
      </c>
      <c r="T49" s="7">
        <f>IFERROR(__xludf.DUMMYFUNCTION("IF(Q49=""PASS"", RANK.EQ(R49, FILTER($R$2:$R$142, $Q$2:$Q$142=""PASS""), 1) + COUNTIFS($R$2:$R$142, R49, $S$2:$S$142, ""&lt;""&amp;S49, $Q$2:$Q$142, ""PASS""), """")"),118.0)</f>
        <v>118</v>
      </c>
      <c r="U49" s="8">
        <f t="shared" si="4"/>
        <v>15.125</v>
      </c>
      <c r="V49" s="6" t="s">
        <v>29</v>
      </c>
      <c r="W49" s="7">
        <v>1.34217743E8</v>
      </c>
      <c r="X49" s="7">
        <v>8.3536</v>
      </c>
      <c r="Y49" s="7">
        <f>IFERROR(__xludf.DUMMYFUNCTION("IF(V49=""PASS"", RANK.EQ(W49, FILTER($W$2:$W$142, $V$2:$V$142=""PASS""), 1) + COUNTIFS($W$2:$W$142, W49, $X$2:$X$142, ""&lt;""&amp;X49, $V$2:$V$142, ""PASS""), """")"),78.0)</f>
        <v>78</v>
      </c>
      <c r="Z49" s="8">
        <f t="shared" si="5"/>
        <v>15.36144578</v>
      </c>
      <c r="AA49" s="10">
        <f t="shared" si="6"/>
        <v>75.88384678</v>
      </c>
      <c r="AB49" s="11" t="b">
        <v>0</v>
      </c>
      <c r="AC49" s="8">
        <f t="shared" si="7"/>
        <v>75.88384678</v>
      </c>
      <c r="AD49" s="7"/>
    </row>
    <row r="50">
      <c r="A50" s="5">
        <v>3.13510245E8</v>
      </c>
      <c r="B50" s="6" t="s">
        <v>29</v>
      </c>
      <c r="C50" s="7">
        <v>690925.0</v>
      </c>
      <c r="D50" s="7">
        <v>0.5165</v>
      </c>
      <c r="E50" s="7">
        <f>IFERROR(__xludf.DUMMYFUNCTION("IF(B50=""PASS"", RANK.EQ(C50, FILTER($C$2:$C$142, $B$2:$B$142=""PASS""), 1) + COUNTIFS($C$2:$C$142, C50, $D$2:$D$142, ""&lt;""&amp;D50, $B$2:$B$142, ""PASS""), """")"),37.0)</f>
        <v>37</v>
      </c>
      <c r="F50" s="8">
        <f t="shared" si="1"/>
        <v>18.60465116</v>
      </c>
      <c r="G50" s="6" t="s">
        <v>29</v>
      </c>
      <c r="H50" s="7">
        <v>3018877.0</v>
      </c>
      <c r="I50" s="7">
        <v>2.7178</v>
      </c>
      <c r="J50" s="7">
        <f>IFERROR(__xludf.DUMMYFUNCTION("IF(G50=""PASS"", RANK.EQ(H50, FILTER($H$2:$H$142, $G$2:$G$142=""PASS""), 1) + COUNTIFS($H$2:$H$142, H50, $I$2:$I$142, ""&lt;""&amp;I50, $G$2:$G$142, ""PASS""), """")"),33.0)</f>
        <v>33</v>
      </c>
      <c r="K50" s="8">
        <f t="shared" si="2"/>
        <v>18.75</v>
      </c>
      <c r="L50" s="6" t="s">
        <v>29</v>
      </c>
      <c r="M50" s="7">
        <v>1.2979481E7</v>
      </c>
      <c r="N50" s="7">
        <v>11.2673</v>
      </c>
      <c r="O50" s="7">
        <f>IFERROR(__xludf.DUMMYFUNCTION("IF(L50=""PASS"", RANK.EQ(M50, FILTER($M$2:$M$142, $L$2:$L$142=""PASS""), 1) + COUNTIFS($M$2:$M$142, M50, $N$2:$N$142, ""&lt;""&amp;N50, $L$2:$L$142, ""PASS""), """")"),32.0)</f>
        <v>32</v>
      </c>
      <c r="P50" s="8">
        <f t="shared" si="3"/>
        <v>18.7295082</v>
      </c>
      <c r="Q50" s="6" t="s">
        <v>29</v>
      </c>
      <c r="R50" s="7">
        <v>1.2989162E7</v>
      </c>
      <c r="S50" s="7">
        <v>11.9472</v>
      </c>
      <c r="T50" s="7">
        <f>IFERROR(__xludf.DUMMYFUNCTION("IF(Q50=""PASS"", RANK.EQ(R50, FILTER($R$2:$R$142, $Q$2:$Q$142=""PASS""), 1) + COUNTIFS($R$2:$R$142, R50, $S$2:$S$142, ""&lt;""&amp;S50, $Q$2:$Q$142, ""PASS""), """")"),33.0)</f>
        <v>33</v>
      </c>
      <c r="U50" s="8">
        <f t="shared" si="4"/>
        <v>18.66666667</v>
      </c>
      <c r="V50" s="6" t="s">
        <v>29</v>
      </c>
      <c r="W50" s="7">
        <v>1.28625339E8</v>
      </c>
      <c r="X50" s="7">
        <v>60.185</v>
      </c>
      <c r="Y50" s="7">
        <f>IFERROR(__xludf.DUMMYFUNCTION("IF(V50=""PASS"", RANK.EQ(W50, FILTER($W$2:$W$142, $V$2:$V$142=""PASS""), 1) + COUNTIFS($W$2:$W$142, W50, $X$2:$X$142, ""&lt;""&amp;X50, $V$2:$V$142, ""PASS""), """")"),35.0)</f>
        <v>35</v>
      </c>
      <c r="Z50" s="8">
        <f t="shared" si="5"/>
        <v>17.95180723</v>
      </c>
      <c r="AA50" s="10">
        <f t="shared" si="6"/>
        <v>92.70263326</v>
      </c>
      <c r="AB50" s="11" t="b">
        <v>0</v>
      </c>
      <c r="AC50" s="8">
        <f t="shared" si="7"/>
        <v>92.70263326</v>
      </c>
      <c r="AD50" s="7"/>
    </row>
    <row r="51">
      <c r="A51" s="5">
        <v>3.1351102E8</v>
      </c>
      <c r="B51" s="6" t="s">
        <v>29</v>
      </c>
      <c r="C51" s="7">
        <v>1065888.0</v>
      </c>
      <c r="D51" s="7">
        <v>0.0553</v>
      </c>
      <c r="E51" s="7">
        <f>IFERROR(__xludf.DUMMYFUNCTION("IF(B51=""PASS"", RANK.EQ(C51, FILTER($C$2:$C$142, $B$2:$B$142=""PASS""), 1) + COUNTIFS($C$2:$C$142, C51, $D$2:$D$142, ""&lt;""&amp;D51, $B$2:$B$142, ""PASS""), """")"),103.0)</f>
        <v>103</v>
      </c>
      <c r="F51" s="8">
        <f t="shared" si="1"/>
        <v>16.04651163</v>
      </c>
      <c r="G51" s="6" t="s">
        <v>29</v>
      </c>
      <c r="H51" s="7">
        <v>5418596.0</v>
      </c>
      <c r="I51" s="7">
        <v>0.2285</v>
      </c>
      <c r="J51" s="7">
        <f>IFERROR(__xludf.DUMMYFUNCTION("IF(G51=""PASS"", RANK.EQ(H51, FILTER($H$2:$H$142, $G$2:$G$142=""PASS""), 1) + COUNTIFS($H$2:$H$142, H51, $I$2:$I$142, ""&lt;""&amp;I51, $G$2:$G$142, ""PASS""), """")"),94.0)</f>
        <v>94</v>
      </c>
      <c r="K51" s="8">
        <f t="shared" si="2"/>
        <v>16.3671875</v>
      </c>
      <c r="L51" s="6" t="s">
        <v>29</v>
      </c>
      <c r="M51" s="7">
        <v>2.3103067E7</v>
      </c>
      <c r="N51" s="7">
        <v>0.9164</v>
      </c>
      <c r="O51" s="7">
        <f>IFERROR(__xludf.DUMMYFUNCTION("IF(L51=""PASS"", RANK.EQ(M51, FILTER($M$2:$M$142, $L$2:$L$142=""PASS""), 1) + COUNTIFS($M$2:$M$142, M51, $N$2:$N$142, ""&lt;""&amp;N51, $L$2:$L$142, ""PASS""), """")"),85.0)</f>
        <v>85</v>
      </c>
      <c r="P51" s="8">
        <f t="shared" si="3"/>
        <v>16.55737705</v>
      </c>
      <c r="Q51" s="6" t="s">
        <v>29</v>
      </c>
      <c r="R51" s="7">
        <v>2.3769256E7</v>
      </c>
      <c r="S51" s="7">
        <v>0.9469</v>
      </c>
      <c r="T51" s="7">
        <f>IFERROR(__xludf.DUMMYFUNCTION("IF(Q51=""PASS"", RANK.EQ(R51, FILTER($R$2:$R$142, $Q$2:$Q$142=""PASS""), 1) + COUNTIFS($R$2:$R$142, R51, $S$2:$S$142, ""&lt;""&amp;S51, $Q$2:$Q$142, ""PASS""), """")"),85.0)</f>
        <v>85</v>
      </c>
      <c r="U51" s="8">
        <f t="shared" si="4"/>
        <v>16.5</v>
      </c>
      <c r="V51" s="6" t="s">
        <v>29</v>
      </c>
      <c r="W51" s="7">
        <v>1.29763269E8</v>
      </c>
      <c r="X51" s="7">
        <v>4.5458</v>
      </c>
      <c r="Y51" s="7">
        <f>IFERROR(__xludf.DUMMYFUNCTION("IF(V51=""PASS"", RANK.EQ(W51, FILTER($W$2:$W$142, $V$2:$V$142=""PASS""), 1) + COUNTIFS($W$2:$W$142, W51, $X$2:$X$142, ""&lt;""&amp;X51, $V$2:$V$142, ""PASS""), """")"),62.0)</f>
        <v>62</v>
      </c>
      <c r="Z51" s="8">
        <f t="shared" si="5"/>
        <v>16.3253012</v>
      </c>
      <c r="AA51" s="10">
        <f t="shared" si="6"/>
        <v>81.79637738</v>
      </c>
      <c r="AB51" s="11" t="b">
        <v>0</v>
      </c>
      <c r="AC51" s="8">
        <f t="shared" si="7"/>
        <v>81.79637738</v>
      </c>
      <c r="AD51" s="7"/>
    </row>
    <row r="52">
      <c r="A52" s="5">
        <v>3.13511022E8</v>
      </c>
      <c r="B52" s="6" t="s">
        <v>29</v>
      </c>
      <c r="C52" s="7">
        <v>741144.0</v>
      </c>
      <c r="D52" s="7">
        <v>0.6193</v>
      </c>
      <c r="E52" s="7">
        <f>IFERROR(__xludf.DUMMYFUNCTION("IF(B52=""PASS"", RANK.EQ(C52, FILTER($C$2:$C$142, $B$2:$B$142=""PASS""), 1) + COUNTIFS($C$2:$C$142, C52, $D$2:$D$142, ""&lt;""&amp;D52, $B$2:$B$142, ""PASS""), """")"),50.0)</f>
        <v>50</v>
      </c>
      <c r="F52" s="8">
        <f t="shared" si="1"/>
        <v>18.10077519</v>
      </c>
      <c r="G52" s="6" t="s">
        <v>29</v>
      </c>
      <c r="H52" s="7">
        <v>3206787.0</v>
      </c>
      <c r="I52" s="7">
        <v>3.5034</v>
      </c>
      <c r="J52" s="7">
        <f>IFERROR(__xludf.DUMMYFUNCTION("IF(G52=""PASS"", RANK.EQ(H52, FILTER($H$2:$H$142, $G$2:$G$142=""PASS""), 1) + COUNTIFS($H$2:$H$142, H52, $I$2:$I$142, ""&lt;""&amp;I52, $G$2:$G$142, ""PASS""), """")"),47.0)</f>
        <v>47</v>
      </c>
      <c r="K52" s="8">
        <f t="shared" si="2"/>
        <v>18.203125</v>
      </c>
      <c r="L52" s="6" t="s">
        <v>29</v>
      </c>
      <c r="M52" s="7">
        <v>1.3764264E7</v>
      </c>
      <c r="N52" s="7">
        <v>16.1457</v>
      </c>
      <c r="O52" s="7">
        <f>IFERROR(__xludf.DUMMYFUNCTION("IF(L52=""PASS"", RANK.EQ(M52, FILTER($M$2:$M$142, $L$2:$L$142=""PASS""), 1) + COUNTIFS($M$2:$M$142, M52, $N$2:$N$142, ""&lt;""&amp;N52, $L$2:$L$142, ""PASS""), """")"),39.0)</f>
        <v>39</v>
      </c>
      <c r="P52" s="8">
        <f t="shared" si="3"/>
        <v>18.44262295</v>
      </c>
      <c r="Q52" s="6" t="s">
        <v>29</v>
      </c>
      <c r="R52" s="7">
        <v>1.3741174E7</v>
      </c>
      <c r="S52" s="7">
        <v>16.5979</v>
      </c>
      <c r="T52" s="7">
        <f>IFERROR(__xludf.DUMMYFUNCTION("IF(Q52=""PASS"", RANK.EQ(R52, FILTER($R$2:$R$142, $Q$2:$Q$142=""PASS""), 1) + COUNTIFS($R$2:$R$142, R52, $S$2:$S$142, ""&lt;""&amp;S52, $Q$2:$Q$142, ""PASS""), """")"),39.0)</f>
        <v>39</v>
      </c>
      <c r="U52" s="8">
        <f t="shared" si="4"/>
        <v>18.41666667</v>
      </c>
      <c r="V52" s="6" t="s">
        <v>29</v>
      </c>
      <c r="W52" s="7">
        <v>1.28625339E8</v>
      </c>
      <c r="X52" s="7">
        <v>68.7211</v>
      </c>
      <c r="Y52" s="7">
        <f>IFERROR(__xludf.DUMMYFUNCTION("IF(V52=""PASS"", RANK.EQ(W52, FILTER($W$2:$W$142, $V$2:$V$142=""PASS""), 1) + COUNTIFS($W$2:$W$142, W52, $X$2:$X$142, ""&lt;""&amp;X52, $V$2:$V$142, ""PASS""), """")"),38.0)</f>
        <v>38</v>
      </c>
      <c r="Z52" s="8">
        <f t="shared" si="5"/>
        <v>17.77108434</v>
      </c>
      <c r="AA52" s="10">
        <f t="shared" si="6"/>
        <v>90.93427415</v>
      </c>
      <c r="AB52" s="11" t="b">
        <v>0</v>
      </c>
      <c r="AC52" s="8">
        <f t="shared" si="7"/>
        <v>90.93427415</v>
      </c>
      <c r="AD52" s="7"/>
    </row>
    <row r="53">
      <c r="A53" s="5">
        <v>3.13511026E8</v>
      </c>
      <c r="B53" s="6" t="s">
        <v>29</v>
      </c>
      <c r="C53" s="7">
        <v>915983.0</v>
      </c>
      <c r="D53" s="7">
        <v>2.1562</v>
      </c>
      <c r="E53" s="7">
        <f>IFERROR(__xludf.DUMMYFUNCTION("IF(B53=""PASS"", RANK.EQ(C53, FILTER($C$2:$C$142, $B$2:$B$142=""PASS""), 1) + COUNTIFS($C$2:$C$142, C53, $D$2:$D$142, ""&lt;""&amp;D53, $B$2:$B$142, ""PASS""), """")"),73.0)</f>
        <v>73</v>
      </c>
      <c r="F53" s="8">
        <f t="shared" si="1"/>
        <v>17.20930233</v>
      </c>
      <c r="G53" s="6" t="s">
        <v>29</v>
      </c>
      <c r="H53" s="7">
        <v>4333043.0</v>
      </c>
      <c r="I53" s="7">
        <v>14.2247</v>
      </c>
      <c r="J53" s="7">
        <f>IFERROR(__xludf.DUMMYFUNCTION("IF(G53=""PASS"", RANK.EQ(H53, FILTER($H$2:$H$142, $G$2:$G$142=""PASS""), 1) + COUNTIFS($H$2:$H$142, H53, $I$2:$I$142, ""&lt;""&amp;I53, $G$2:$G$142, ""PASS""), """")"),71.0)</f>
        <v>71</v>
      </c>
      <c r="K53" s="8">
        <f t="shared" si="2"/>
        <v>17.265625</v>
      </c>
      <c r="L53" s="6" t="s">
        <v>29</v>
      </c>
      <c r="M53" s="7">
        <v>1.8644955E7</v>
      </c>
      <c r="N53" s="7">
        <v>67.2327</v>
      </c>
      <c r="O53" s="7">
        <f>IFERROR(__xludf.DUMMYFUNCTION("IF(L53=""PASS"", RANK.EQ(M53, FILTER($M$2:$M$142, $L$2:$L$142=""PASS""), 1) + COUNTIFS($M$2:$M$142, M53, $N$2:$N$142, ""&lt;""&amp;N53, $L$2:$L$142, ""PASS""), """")"),63.0)</f>
        <v>63</v>
      </c>
      <c r="P53" s="8">
        <f t="shared" si="3"/>
        <v>17.45901639</v>
      </c>
      <c r="Q53" s="6" t="s">
        <v>29</v>
      </c>
      <c r="R53" s="7">
        <v>1.8891E7</v>
      </c>
      <c r="S53" s="7">
        <v>69.4054</v>
      </c>
      <c r="T53" s="7">
        <f>IFERROR(__xludf.DUMMYFUNCTION("IF(Q53=""PASS"", RANK.EQ(R53, FILTER($R$2:$R$142, $Q$2:$Q$142=""PASS""), 1) + COUNTIFS($R$2:$R$142, R53, $S$2:$S$142, ""&lt;""&amp;S53, $Q$2:$Q$142, ""PASS""), """")"),63.0)</f>
        <v>63</v>
      </c>
      <c r="U53" s="8">
        <f t="shared" si="4"/>
        <v>17.41666667</v>
      </c>
      <c r="V53" s="12" t="s">
        <v>31</v>
      </c>
      <c r="W53" s="13">
        <v>1.28625339E8</v>
      </c>
      <c r="X53" s="13">
        <v>8.8892</v>
      </c>
      <c r="Y53" s="13" t="str">
        <f>IFERROR(__xludf.DUMMYFUNCTION("IF(V53=""PASS"", RANK.EQ(W53, FILTER($W$2:$W$142, $V$2:$V$142=""PASS""), 1) + COUNTIFS($W$2:$W$142, W53, $X$2:$X$142, ""&lt;""&amp;X53, $V$2:$V$142, ""PASS""), """")"),"")</f>
        <v/>
      </c>
      <c r="Z53" s="14">
        <f t="shared" si="5"/>
        <v>15</v>
      </c>
      <c r="AA53" s="10">
        <f t="shared" si="6"/>
        <v>84.35061039</v>
      </c>
      <c r="AB53" s="15" t="b">
        <v>1</v>
      </c>
      <c r="AC53" s="16">
        <f>IF(AB53=TRUE, MAX(AA53-10, 0), AA53)</f>
        <v>74.35061039</v>
      </c>
      <c r="AD53" s="7"/>
    </row>
    <row r="54">
      <c r="A54" s="5">
        <v>3.13511053E8</v>
      </c>
      <c r="B54" s="6" t="s">
        <v>29</v>
      </c>
      <c r="C54" s="7">
        <v>1035734.0</v>
      </c>
      <c r="D54" s="7">
        <v>0.3383</v>
      </c>
      <c r="E54" s="7">
        <f>IFERROR(__xludf.DUMMYFUNCTION("IF(B54=""PASS"", RANK.EQ(C54, FILTER($C$2:$C$142, $B$2:$B$142=""PASS""), 1) + COUNTIFS($C$2:$C$142, C54, $D$2:$D$142, ""&lt;""&amp;D54, $B$2:$B$142, ""PASS""), """")"),91.0)</f>
        <v>91</v>
      </c>
      <c r="F54" s="8">
        <f t="shared" si="1"/>
        <v>16.51162791</v>
      </c>
      <c r="G54" s="6" t="s">
        <v>29</v>
      </c>
      <c r="H54" s="7">
        <v>5267625.0</v>
      </c>
      <c r="I54" s="7">
        <v>1.849</v>
      </c>
      <c r="J54" s="7">
        <f>IFERROR(__xludf.DUMMYFUNCTION("IF(G54=""PASS"", RANK.EQ(H54, FILTER($H$2:$H$142, $G$2:$G$142=""PASS""), 1) + COUNTIFS($H$2:$H$142, H54, $I$2:$I$142, ""&lt;""&amp;I54, $G$2:$G$142, ""PASS""), """")"),88.0)</f>
        <v>88</v>
      </c>
      <c r="K54" s="8">
        <f t="shared" si="2"/>
        <v>16.6015625</v>
      </c>
      <c r="L54" s="6" t="s">
        <v>29</v>
      </c>
      <c r="M54" s="7">
        <v>2.2509314E7</v>
      </c>
      <c r="N54" s="7">
        <v>8.2592</v>
      </c>
      <c r="O54" s="7">
        <f>IFERROR(__xludf.DUMMYFUNCTION("IF(L54=""PASS"", RANK.EQ(M54, FILTER($M$2:$M$142, $L$2:$L$142=""PASS""), 1) + COUNTIFS($M$2:$M$142, M54, $N$2:$N$142, ""&lt;""&amp;N54, $L$2:$L$142, ""PASS""), """")"),80.0)</f>
        <v>80</v>
      </c>
      <c r="P54" s="8">
        <f t="shared" si="3"/>
        <v>16.76229508</v>
      </c>
      <c r="Q54" s="6" t="s">
        <v>29</v>
      </c>
      <c r="R54" s="7">
        <v>2.315459E7</v>
      </c>
      <c r="S54" s="7">
        <v>8.4889</v>
      </c>
      <c r="T54" s="7">
        <f>IFERROR(__xludf.DUMMYFUNCTION("IF(Q54=""PASS"", RANK.EQ(R54, FILTER($R$2:$R$142, $Q$2:$Q$142=""PASS""), 1) + COUNTIFS($R$2:$R$142, R54, $S$2:$S$142, ""&lt;""&amp;S54, $Q$2:$Q$142, ""PASS""), """")"),80.0)</f>
        <v>80</v>
      </c>
      <c r="U54" s="8">
        <f t="shared" si="4"/>
        <v>16.70833333</v>
      </c>
      <c r="V54" s="6" t="s">
        <v>29</v>
      </c>
      <c r="W54" s="7">
        <v>1.28625339E8</v>
      </c>
      <c r="X54" s="7">
        <v>37.1025</v>
      </c>
      <c r="Y54" s="7">
        <f>IFERROR(__xludf.DUMMYFUNCTION("IF(V54=""PASS"", RANK.EQ(W54, FILTER($W$2:$W$142, $V$2:$V$142=""PASS""), 1) + COUNTIFS($W$2:$W$142, W54, $X$2:$X$142, ""&lt;""&amp;X54, $V$2:$V$142, ""PASS""), """")"),26.0)</f>
        <v>26</v>
      </c>
      <c r="Z54" s="8">
        <f t="shared" si="5"/>
        <v>18.4939759</v>
      </c>
      <c r="AA54" s="10">
        <f t="shared" si="6"/>
        <v>85.07779473</v>
      </c>
      <c r="AB54" s="11" t="b">
        <v>0</v>
      </c>
      <c r="AC54" s="8">
        <f t="shared" ref="AC54:AC142" si="8">IF(AB54=TRUE, MAX(AA54-5, 0), AA54)</f>
        <v>85.07779473</v>
      </c>
      <c r="AD54" s="7"/>
    </row>
    <row r="55">
      <c r="A55" s="5">
        <v>3.13511055E8</v>
      </c>
      <c r="B55" s="12" t="s">
        <v>31</v>
      </c>
      <c r="C55" s="13">
        <v>669408.0</v>
      </c>
      <c r="D55" s="13">
        <v>0.7989</v>
      </c>
      <c r="E55" s="13" t="str">
        <f>IFERROR(__xludf.DUMMYFUNCTION("IF(B55=""PASS"", RANK.EQ(C55, FILTER($C$2:$C$142, $B$2:$B$142=""PASS""), 1) + COUNTIFS($C$2:$C$142, C55, $D$2:$D$142, ""&lt;""&amp;D55, $B$2:$B$142, ""PASS""), """")"),"")</f>
        <v/>
      </c>
      <c r="F55" s="14">
        <f t="shared" si="1"/>
        <v>15</v>
      </c>
      <c r="G55" s="12" t="s">
        <v>31</v>
      </c>
      <c r="H55" s="13">
        <v>2899759.0</v>
      </c>
      <c r="I55" s="13">
        <v>4.5635</v>
      </c>
      <c r="J55" s="13" t="str">
        <f>IFERROR(__xludf.DUMMYFUNCTION("IF(G55=""PASS"", RANK.EQ(H55, FILTER($H$2:$H$142, $G$2:$G$142=""PASS""), 1) + COUNTIFS($H$2:$H$142, H55, $I$2:$I$142, ""&lt;""&amp;I55, $G$2:$G$142, ""PASS""), """")"),"")</f>
        <v/>
      </c>
      <c r="K55" s="14">
        <f t="shared" si="2"/>
        <v>15</v>
      </c>
      <c r="L55" s="12" t="s">
        <v>31</v>
      </c>
      <c r="M55" s="13">
        <v>1.242206E7</v>
      </c>
      <c r="N55" s="13">
        <v>20.6823</v>
      </c>
      <c r="O55" s="13" t="str">
        <f>IFERROR(__xludf.DUMMYFUNCTION("IF(L55=""PASS"", RANK.EQ(M55, FILTER($M$2:$M$142, $L$2:$L$142=""PASS""), 1) + COUNTIFS($M$2:$M$142, M55, $N$2:$N$142, ""&lt;""&amp;N55, $L$2:$L$142, ""PASS""), """")"),"")</f>
        <v/>
      </c>
      <c r="P55" s="14">
        <f t="shared" si="3"/>
        <v>15</v>
      </c>
      <c r="Q55" s="12" t="s">
        <v>31</v>
      </c>
      <c r="R55" s="13">
        <v>1.2408961E7</v>
      </c>
      <c r="S55" s="13">
        <v>22.3224</v>
      </c>
      <c r="T55" s="13" t="str">
        <f>IFERROR(__xludf.DUMMYFUNCTION("IF(Q55=""PASS"", RANK.EQ(R55, FILTER($R$2:$R$142, $Q$2:$Q$142=""PASS""), 1) + COUNTIFS($R$2:$R$142, R55, $S$2:$S$142, ""&lt;""&amp;S55, $Q$2:$Q$142, ""PASS""), """")"),"")</f>
        <v/>
      </c>
      <c r="U55" s="14">
        <f t="shared" si="4"/>
        <v>15</v>
      </c>
      <c r="V55" s="12" t="s">
        <v>31</v>
      </c>
      <c r="W55" s="13">
        <v>1.28625339E8</v>
      </c>
      <c r="X55" s="13">
        <v>8.8986</v>
      </c>
      <c r="Y55" s="13" t="str">
        <f>IFERROR(__xludf.DUMMYFUNCTION("IF(V55=""PASS"", RANK.EQ(W55, FILTER($W$2:$W$142, $V$2:$V$142=""PASS""), 1) + COUNTIFS($W$2:$W$142, W55, $X$2:$X$142, ""&lt;""&amp;X55, $V$2:$V$142, ""PASS""), """")"),"")</f>
        <v/>
      </c>
      <c r="Z55" s="14">
        <f t="shared" si="5"/>
        <v>15</v>
      </c>
      <c r="AA55" s="10">
        <f t="shared" si="6"/>
        <v>75</v>
      </c>
      <c r="AB55" s="11" t="b">
        <v>0</v>
      </c>
      <c r="AC55" s="8">
        <f t="shared" si="8"/>
        <v>75</v>
      </c>
      <c r="AD55" s="7"/>
    </row>
    <row r="56">
      <c r="A56" s="5">
        <v>3.13511057E8</v>
      </c>
      <c r="B56" s="6" t="s">
        <v>29</v>
      </c>
      <c r="C56" s="7">
        <v>661238.0</v>
      </c>
      <c r="D56" s="7">
        <v>1.7803</v>
      </c>
      <c r="E56" s="7">
        <f>IFERROR(__xludf.DUMMYFUNCTION("IF(B56=""PASS"", RANK.EQ(C56, FILTER($C$2:$C$142, $B$2:$B$142=""PASS""), 1) + COUNTIFS($C$2:$C$142, C56, $D$2:$D$142, ""&lt;""&amp;D56, $B$2:$B$142, ""PASS""), """")"),19.0)</f>
        <v>19</v>
      </c>
      <c r="F56" s="8">
        <f t="shared" si="1"/>
        <v>19.30232558</v>
      </c>
      <c r="G56" s="6" t="s">
        <v>29</v>
      </c>
      <c r="H56" s="7">
        <v>2859625.0</v>
      </c>
      <c r="I56" s="7">
        <v>9.7</v>
      </c>
      <c r="J56" s="7">
        <f>IFERROR(__xludf.DUMMYFUNCTION("IF(G56=""PASS"", RANK.EQ(H56, FILTER($H$2:$H$142, $G$2:$G$142=""PASS""), 1) + COUNTIFS($H$2:$H$142, H56, $I$2:$I$142, ""&lt;""&amp;I56, $G$2:$G$142, ""PASS""), """")"),18.0)</f>
        <v>18</v>
      </c>
      <c r="K56" s="8">
        <f t="shared" si="2"/>
        <v>19.3359375</v>
      </c>
      <c r="L56" s="6" t="s">
        <v>29</v>
      </c>
      <c r="M56" s="7">
        <v>1.2226567E7</v>
      </c>
      <c r="N56" s="7">
        <v>41.861</v>
      </c>
      <c r="O56" s="7">
        <f>IFERROR(__xludf.DUMMYFUNCTION("IF(L56=""PASS"", RANK.EQ(M56, FILTER($M$2:$M$142, $L$2:$L$142=""PASS""), 1) + COUNTIFS($M$2:$M$142, M56, $N$2:$N$142, ""&lt;""&amp;N56, $L$2:$L$142, ""PASS""), """")"),12.0)</f>
        <v>12</v>
      </c>
      <c r="P56" s="8">
        <f t="shared" si="3"/>
        <v>19.54918033</v>
      </c>
      <c r="Q56" s="6" t="s">
        <v>29</v>
      </c>
      <c r="R56" s="7">
        <v>1.2214407E7</v>
      </c>
      <c r="S56" s="7">
        <v>43.13</v>
      </c>
      <c r="T56" s="7">
        <f>IFERROR(__xludf.DUMMYFUNCTION("IF(Q56=""PASS"", RANK.EQ(R56, FILTER($R$2:$R$142, $Q$2:$Q$142=""PASS""), 1) + COUNTIFS($R$2:$R$142, R56, $S$2:$S$142, ""&lt;""&amp;S56, $Q$2:$Q$142, ""PASS""), """")"),12.0)</f>
        <v>12</v>
      </c>
      <c r="U56" s="8">
        <f t="shared" si="4"/>
        <v>19.54166667</v>
      </c>
      <c r="V56" s="6" t="s">
        <v>29</v>
      </c>
      <c r="W56" s="7">
        <v>1.28625339E8</v>
      </c>
      <c r="X56" s="7">
        <v>162.2513</v>
      </c>
      <c r="Y56" s="7">
        <f>IFERROR(__xludf.DUMMYFUNCTION("IF(V56=""PASS"", RANK.EQ(W56, FILTER($W$2:$W$142, $V$2:$V$142=""PASS""), 1) + COUNTIFS($W$2:$W$142, W56, $X$2:$X$142, ""&lt;""&amp;X56, $V$2:$V$142, ""PASS""), """")"),55.0)</f>
        <v>55</v>
      </c>
      <c r="Z56" s="8">
        <f t="shared" si="5"/>
        <v>16.74698795</v>
      </c>
      <c r="AA56" s="10">
        <f t="shared" si="6"/>
        <v>94.47609803</v>
      </c>
      <c r="AB56" s="11" t="b">
        <v>0</v>
      </c>
      <c r="AC56" s="8">
        <f t="shared" si="8"/>
        <v>94.47609803</v>
      </c>
      <c r="AD56" s="7"/>
    </row>
    <row r="57">
      <c r="A57" s="5">
        <v>3.13511067E8</v>
      </c>
      <c r="B57" s="6" t="s">
        <v>29</v>
      </c>
      <c r="C57" s="7">
        <v>785369.0</v>
      </c>
      <c r="D57" s="7">
        <v>0.337</v>
      </c>
      <c r="E57" s="7">
        <f>IFERROR(__xludf.DUMMYFUNCTION("IF(B57=""PASS"", RANK.EQ(C57, FILTER($C$2:$C$142, $B$2:$B$142=""PASS""), 1) + COUNTIFS($C$2:$C$142, C57, $D$2:$D$142, ""&lt;""&amp;D57, $B$2:$B$142, ""PASS""), """")"),58.0)</f>
        <v>58</v>
      </c>
      <c r="F57" s="8">
        <f t="shared" si="1"/>
        <v>17.79069767</v>
      </c>
      <c r="G57" s="6" t="s">
        <v>29</v>
      </c>
      <c r="H57" s="7">
        <v>3545452.0</v>
      </c>
      <c r="I57" s="7">
        <v>1.8576</v>
      </c>
      <c r="J57" s="7">
        <f>IFERROR(__xludf.DUMMYFUNCTION("IF(G57=""PASS"", RANK.EQ(H57, FILTER($H$2:$H$142, $G$2:$G$142=""PASS""), 1) + COUNTIFS($H$2:$H$142, H57, $I$2:$I$142, ""&lt;""&amp;I57, $G$2:$G$142, ""PASS""), """")"),57.0)</f>
        <v>57</v>
      </c>
      <c r="K57" s="8">
        <f t="shared" si="2"/>
        <v>17.8125</v>
      </c>
      <c r="L57" s="6" t="s">
        <v>29</v>
      </c>
      <c r="M57" s="7">
        <v>1.5267451E7</v>
      </c>
      <c r="N57" s="7">
        <v>8.3626</v>
      </c>
      <c r="O57" s="7">
        <f>IFERROR(__xludf.DUMMYFUNCTION("IF(L57=""PASS"", RANK.EQ(M57, FILTER($M$2:$M$142, $L$2:$L$142=""PASS""), 1) + COUNTIFS($M$2:$M$142, M57, $N$2:$N$142, ""&lt;""&amp;N57, $L$2:$L$142, ""PASS""), """")"),49.0)</f>
        <v>49</v>
      </c>
      <c r="P57" s="8">
        <f t="shared" si="3"/>
        <v>18.03278689</v>
      </c>
      <c r="Q57" s="6" t="s">
        <v>29</v>
      </c>
      <c r="R57" s="7">
        <v>1.5344538E7</v>
      </c>
      <c r="S57" s="7">
        <v>8.4895</v>
      </c>
      <c r="T57" s="7">
        <f>IFERROR(__xludf.DUMMYFUNCTION("IF(Q57=""PASS"", RANK.EQ(R57, FILTER($R$2:$R$142, $Q$2:$Q$142=""PASS""), 1) + COUNTIFS($R$2:$R$142, R57, $S$2:$S$142, ""&lt;""&amp;S57, $Q$2:$Q$142, ""PASS""), """")"),48.0)</f>
        <v>48</v>
      </c>
      <c r="U57" s="8">
        <f t="shared" si="4"/>
        <v>18.04166667</v>
      </c>
      <c r="V57" s="6" t="s">
        <v>29</v>
      </c>
      <c r="W57" s="7">
        <v>1.28625339E8</v>
      </c>
      <c r="X57" s="7">
        <v>31.5493</v>
      </c>
      <c r="Y57" s="7">
        <f>IFERROR(__xludf.DUMMYFUNCTION("IF(V57=""PASS"", RANK.EQ(W57, FILTER($W$2:$W$142, $V$2:$V$142=""PASS""), 1) + COUNTIFS($W$2:$W$142, W57, $X$2:$X$142, ""&lt;""&amp;X57, $V$2:$V$142, ""PASS""), """")"),24.0)</f>
        <v>24</v>
      </c>
      <c r="Z57" s="8">
        <f t="shared" si="5"/>
        <v>18.61445783</v>
      </c>
      <c r="AA57" s="10">
        <f t="shared" si="6"/>
        <v>90.29210906</v>
      </c>
      <c r="AB57" s="11" t="b">
        <v>0</v>
      </c>
      <c r="AC57" s="8">
        <f t="shared" si="8"/>
        <v>90.29210906</v>
      </c>
      <c r="AD57" s="7"/>
    </row>
    <row r="58">
      <c r="A58" s="5">
        <v>3.13511071E8</v>
      </c>
      <c r="B58" s="12" t="s">
        <v>31</v>
      </c>
      <c r="C58" s="13">
        <v>1684059.0</v>
      </c>
      <c r="D58" s="13">
        <v>0.6082</v>
      </c>
      <c r="E58" s="13" t="str">
        <f>IFERROR(__xludf.DUMMYFUNCTION("IF(B58=""PASS"", RANK.EQ(C58, FILTER($C$2:$C$142, $B$2:$B$142=""PASS""), 1) + COUNTIFS($C$2:$C$142, C58, $D$2:$D$142, ""&lt;""&amp;D58, $B$2:$B$142, ""PASS""), """")"),"")</f>
        <v/>
      </c>
      <c r="F58" s="14">
        <f t="shared" si="1"/>
        <v>15</v>
      </c>
      <c r="G58" s="12" t="s">
        <v>31</v>
      </c>
      <c r="H58" s="13">
        <v>8788704.0</v>
      </c>
      <c r="I58" s="13">
        <v>4.3248</v>
      </c>
      <c r="J58" s="13" t="str">
        <f>IFERROR(__xludf.DUMMYFUNCTION("IF(G58=""PASS"", RANK.EQ(H58, FILTER($H$2:$H$142, $G$2:$G$142=""PASS""), 1) + COUNTIFS($H$2:$H$142, H58, $I$2:$I$142, ""&lt;""&amp;I58, $G$2:$G$142, ""PASS""), """")"),"")</f>
        <v/>
      </c>
      <c r="K58" s="14">
        <f t="shared" si="2"/>
        <v>15</v>
      </c>
      <c r="L58" s="12" t="s">
        <v>31</v>
      </c>
      <c r="M58" s="13">
        <v>3.7448575E7</v>
      </c>
      <c r="N58" s="13">
        <v>25.72</v>
      </c>
      <c r="O58" s="13" t="str">
        <f>IFERROR(__xludf.DUMMYFUNCTION("IF(L58=""PASS"", RANK.EQ(M58, FILTER($M$2:$M$142, $L$2:$L$142=""PASS""), 1) + COUNTIFS($M$2:$M$142, M58, $N$2:$N$142, ""&lt;""&amp;N58, $L$2:$L$142, ""PASS""), """")"),"")</f>
        <v/>
      </c>
      <c r="P58" s="14">
        <f t="shared" si="3"/>
        <v>15</v>
      </c>
      <c r="Q58" s="12" t="s">
        <v>31</v>
      </c>
      <c r="R58" s="13">
        <v>3.8671345E7</v>
      </c>
      <c r="S58" s="13">
        <v>26.5954</v>
      </c>
      <c r="T58" s="13" t="str">
        <f>IFERROR(__xludf.DUMMYFUNCTION("IF(Q58=""PASS"", RANK.EQ(R58, FILTER($R$2:$R$142, $Q$2:$Q$142=""PASS""), 1) + COUNTIFS($R$2:$R$142, R58, $S$2:$S$142, ""&lt;""&amp;S58, $Q$2:$Q$142, ""PASS""), """")"),"")</f>
        <v/>
      </c>
      <c r="U58" s="14">
        <f t="shared" si="4"/>
        <v>15</v>
      </c>
      <c r="V58" s="12" t="s">
        <v>31</v>
      </c>
      <c r="W58" s="13">
        <v>1.3421697E8</v>
      </c>
      <c r="X58" s="13">
        <v>105.2962</v>
      </c>
      <c r="Y58" s="13" t="str">
        <f>IFERROR(__xludf.DUMMYFUNCTION("IF(V58=""PASS"", RANK.EQ(W58, FILTER($W$2:$W$142, $V$2:$V$142=""PASS""), 1) + COUNTIFS($W$2:$W$142, W58, $X$2:$X$142, ""&lt;""&amp;X58, $V$2:$V$142, ""PASS""), """")"),"")</f>
        <v/>
      </c>
      <c r="Z58" s="14">
        <f t="shared" si="5"/>
        <v>15</v>
      </c>
      <c r="AA58" s="10">
        <f t="shared" si="6"/>
        <v>75</v>
      </c>
      <c r="AB58" s="11" t="b">
        <v>0</v>
      </c>
      <c r="AC58" s="8">
        <f t="shared" si="8"/>
        <v>75</v>
      </c>
      <c r="AD58" s="7"/>
    </row>
    <row r="59">
      <c r="A59" s="5">
        <v>3.13512014E8</v>
      </c>
      <c r="B59" s="6" t="s">
        <v>29</v>
      </c>
      <c r="C59" s="7">
        <v>650498.0</v>
      </c>
      <c r="D59" s="7">
        <v>0.4235</v>
      </c>
      <c r="E59" s="7">
        <f>IFERROR(__xludf.DUMMYFUNCTION("IF(B59=""PASS"", RANK.EQ(C59, FILTER($C$2:$C$142, $B$2:$B$142=""PASS""), 1) + COUNTIFS($C$2:$C$142, C59, $D$2:$D$142, ""&lt;""&amp;D59, $B$2:$B$142, ""PASS""), """")"),11.0)</f>
        <v>11</v>
      </c>
      <c r="F59" s="8">
        <f t="shared" si="1"/>
        <v>19.6124031</v>
      </c>
      <c r="G59" s="6" t="s">
        <v>29</v>
      </c>
      <c r="H59" s="7">
        <v>2724496.0</v>
      </c>
      <c r="I59" s="7">
        <v>2.2565</v>
      </c>
      <c r="J59" s="7">
        <f>IFERROR(__xludf.DUMMYFUNCTION("IF(G59=""PASS"", RANK.EQ(H59, FILTER($H$2:$H$142, $G$2:$G$142=""PASS""), 1) + COUNTIFS($H$2:$H$142, H59, $I$2:$I$142, ""&lt;""&amp;I59, $G$2:$G$142, ""PASS""), """")"),10.0)</f>
        <v>10</v>
      </c>
      <c r="K59" s="8">
        <f t="shared" si="2"/>
        <v>19.6484375</v>
      </c>
      <c r="L59" s="6" t="s">
        <v>29</v>
      </c>
      <c r="M59" s="7">
        <v>1.5267451E7</v>
      </c>
      <c r="N59" s="7">
        <v>8.2152</v>
      </c>
      <c r="O59" s="7">
        <f>IFERROR(__xludf.DUMMYFUNCTION("IF(L59=""PASS"", RANK.EQ(M59, FILTER($M$2:$M$142, $L$2:$L$142=""PASS""), 1) + COUNTIFS($M$2:$M$142, M59, $N$2:$N$142, ""&lt;""&amp;N59, $L$2:$L$142, ""PASS""), """")"),48.0)</f>
        <v>48</v>
      </c>
      <c r="P59" s="8">
        <f t="shared" si="3"/>
        <v>18.07377049</v>
      </c>
      <c r="Q59" s="6" t="s">
        <v>29</v>
      </c>
      <c r="R59" s="7">
        <v>1.5344538E7</v>
      </c>
      <c r="S59" s="7">
        <v>8.4524</v>
      </c>
      <c r="T59" s="7">
        <f>IFERROR(__xludf.DUMMYFUNCTION("IF(Q59=""PASS"", RANK.EQ(R59, FILTER($R$2:$R$142, $Q$2:$Q$142=""PASS""), 1) + COUNTIFS($R$2:$R$142, R59, $S$2:$S$142, ""&lt;""&amp;S59, $Q$2:$Q$142, ""PASS""), """")"),47.0)</f>
        <v>47</v>
      </c>
      <c r="U59" s="8">
        <f t="shared" si="4"/>
        <v>18.08333333</v>
      </c>
      <c r="V59" s="6" t="s">
        <v>29</v>
      </c>
      <c r="W59" s="7">
        <v>1.28625339E8</v>
      </c>
      <c r="X59" s="7">
        <v>23.0423</v>
      </c>
      <c r="Y59" s="7">
        <f>IFERROR(__xludf.DUMMYFUNCTION("IF(V59=""PASS"", RANK.EQ(W59, FILTER($W$2:$W$142, $V$2:$V$142=""PASS""), 1) + COUNTIFS($W$2:$W$142, W59, $X$2:$X$142, ""&lt;""&amp;X59, $V$2:$V$142, ""PASS""), """")"),16.0)</f>
        <v>16</v>
      </c>
      <c r="Z59" s="8">
        <f t="shared" si="5"/>
        <v>19.09638554</v>
      </c>
      <c r="AA59" s="10">
        <f t="shared" si="6"/>
        <v>94.51432997</v>
      </c>
      <c r="AB59" s="11" t="b">
        <v>0</v>
      </c>
      <c r="AC59" s="8">
        <f t="shared" si="8"/>
        <v>94.51432997</v>
      </c>
      <c r="AD59" s="7"/>
    </row>
    <row r="60">
      <c r="A60" s="5">
        <v>3.13512052E8</v>
      </c>
      <c r="B60" s="6" t="s">
        <v>29</v>
      </c>
      <c r="C60" s="7">
        <v>785369.0</v>
      </c>
      <c r="D60" s="7">
        <v>0.9822</v>
      </c>
      <c r="E60" s="7">
        <f>IFERROR(__xludf.DUMMYFUNCTION("IF(B60=""PASS"", RANK.EQ(C60, FILTER($C$2:$C$142, $B$2:$B$142=""PASS""), 1) + COUNTIFS($C$2:$C$142, C60, $D$2:$D$142, ""&lt;""&amp;D60, $B$2:$B$142, ""PASS""), """")"),60.0)</f>
        <v>60</v>
      </c>
      <c r="F60" s="8">
        <f t="shared" si="1"/>
        <v>17.71317829</v>
      </c>
      <c r="G60" s="6" t="s">
        <v>29</v>
      </c>
      <c r="H60" s="7">
        <v>3545452.0</v>
      </c>
      <c r="I60" s="7">
        <v>4.9872</v>
      </c>
      <c r="J60" s="7">
        <f>IFERROR(__xludf.DUMMYFUNCTION("IF(G60=""PASS"", RANK.EQ(H60, FILTER($H$2:$H$142, $G$2:$G$142=""PASS""), 1) + COUNTIFS($H$2:$H$142, H60, $I$2:$I$142, ""&lt;""&amp;I60, $G$2:$G$142, ""PASS""), """")"),59.0)</f>
        <v>59</v>
      </c>
      <c r="K60" s="8">
        <f t="shared" si="2"/>
        <v>17.734375</v>
      </c>
      <c r="L60" s="6" t="s">
        <v>29</v>
      </c>
      <c r="M60" s="7">
        <v>1.5267451E7</v>
      </c>
      <c r="N60" s="7">
        <v>21.2796</v>
      </c>
      <c r="O60" s="7">
        <f>IFERROR(__xludf.DUMMYFUNCTION("IF(L60=""PASS"", RANK.EQ(M60, FILTER($M$2:$M$142, $L$2:$L$142=""PASS""), 1) + COUNTIFS($M$2:$M$142, M60, $N$2:$N$142, ""&lt;""&amp;N60, $L$2:$L$142, ""PASS""), """")"),51.0)</f>
        <v>51</v>
      </c>
      <c r="P60" s="8">
        <f t="shared" si="3"/>
        <v>17.95081967</v>
      </c>
      <c r="Q60" s="6" t="s">
        <v>29</v>
      </c>
      <c r="R60" s="7">
        <v>1.5344538E7</v>
      </c>
      <c r="S60" s="7">
        <v>21.9862</v>
      </c>
      <c r="T60" s="7">
        <f>IFERROR(__xludf.DUMMYFUNCTION("IF(Q60=""PASS"", RANK.EQ(R60, FILTER($R$2:$R$142, $Q$2:$Q$142=""PASS""), 1) + COUNTIFS($R$2:$R$142, R60, $S$2:$S$142, ""&lt;""&amp;S60, $Q$2:$Q$142, ""PASS""), """")"),50.0)</f>
        <v>50</v>
      </c>
      <c r="U60" s="8">
        <f t="shared" si="4"/>
        <v>17.95833333</v>
      </c>
      <c r="V60" s="6" t="s">
        <v>29</v>
      </c>
      <c r="W60" s="7">
        <v>1.28625339E8</v>
      </c>
      <c r="X60" s="7">
        <v>90.0515</v>
      </c>
      <c r="Y60" s="7">
        <f>IFERROR(__xludf.DUMMYFUNCTION("IF(V60=""PASS"", RANK.EQ(W60, FILTER($W$2:$W$142, $V$2:$V$142=""PASS""), 1) + COUNTIFS($W$2:$W$142, W60, $X$2:$X$142, ""&lt;""&amp;X60, $V$2:$V$142, ""PASS""), """")"),42.0)</f>
        <v>42</v>
      </c>
      <c r="Z60" s="8">
        <f t="shared" si="5"/>
        <v>17.53012048</v>
      </c>
      <c r="AA60" s="10">
        <f t="shared" si="6"/>
        <v>88.88682678</v>
      </c>
      <c r="AB60" s="11" t="b">
        <v>0</v>
      </c>
      <c r="AC60" s="8">
        <f t="shared" si="8"/>
        <v>88.88682678</v>
      </c>
      <c r="AD60" s="7"/>
    </row>
    <row r="61">
      <c r="A61" s="5">
        <v>3.13512058E8</v>
      </c>
      <c r="B61" s="6" t="s">
        <v>29</v>
      </c>
      <c r="C61" s="7">
        <v>657372.0</v>
      </c>
      <c r="D61" s="7">
        <v>0.0839</v>
      </c>
      <c r="E61" s="7">
        <f>IFERROR(__xludf.DUMMYFUNCTION("IF(B61=""PASS"", RANK.EQ(C61, FILTER($C$2:$C$142, $B$2:$B$142=""PASS""), 1) + COUNTIFS($C$2:$C$142, C61, $D$2:$D$142, ""&lt;""&amp;D61, $B$2:$B$142, ""PASS""), """")"),16.0)</f>
        <v>16</v>
      </c>
      <c r="F61" s="8">
        <f t="shared" si="1"/>
        <v>19.41860465</v>
      </c>
      <c r="G61" s="6" t="s">
        <v>29</v>
      </c>
      <c r="H61" s="7">
        <v>2963203.0</v>
      </c>
      <c r="I61" s="7">
        <v>0.4238</v>
      </c>
      <c r="J61" s="7">
        <f>IFERROR(__xludf.DUMMYFUNCTION("IF(G61=""PASS"", RANK.EQ(H61, FILTER($H$2:$H$142, $G$2:$G$142=""PASS""), 1) + COUNTIFS($H$2:$H$142, H61, $I$2:$I$142, ""&lt;""&amp;I61, $G$2:$G$142, ""PASS""), """")"),24.0)</f>
        <v>24</v>
      </c>
      <c r="K61" s="8">
        <f t="shared" si="2"/>
        <v>19.1015625</v>
      </c>
      <c r="L61" s="6" t="s">
        <v>29</v>
      </c>
      <c r="M61" s="7">
        <v>1.2547328E7</v>
      </c>
      <c r="N61" s="7">
        <v>1.9902</v>
      </c>
      <c r="O61" s="7">
        <f>IFERROR(__xludf.DUMMYFUNCTION("IF(L61=""PASS"", RANK.EQ(M61, FILTER($M$2:$M$142, $L$2:$L$142=""PASS""), 1) + COUNTIFS($M$2:$M$142, M61, $N$2:$N$142, ""&lt;""&amp;N61, $L$2:$L$142, ""PASS""), """")"),18.0)</f>
        <v>18</v>
      </c>
      <c r="P61" s="8">
        <f t="shared" si="3"/>
        <v>19.30327869</v>
      </c>
      <c r="Q61" s="6" t="s">
        <v>29</v>
      </c>
      <c r="R61" s="7">
        <v>1.2709192E7</v>
      </c>
      <c r="S61" s="7">
        <v>2.0592</v>
      </c>
      <c r="T61" s="7">
        <f>IFERROR(__xludf.DUMMYFUNCTION("IF(Q61=""PASS"", RANK.EQ(R61, FILTER($R$2:$R$142, $Q$2:$Q$142=""PASS""), 1) + COUNTIFS($R$2:$R$142, R61, $S$2:$S$142, ""&lt;""&amp;S61, $Q$2:$Q$142, ""PASS""), """")"),19.0)</f>
        <v>19</v>
      </c>
      <c r="U61" s="8">
        <f t="shared" si="4"/>
        <v>19.25</v>
      </c>
      <c r="V61" s="6" t="s">
        <v>29</v>
      </c>
      <c r="W61" s="7">
        <v>1.28625339E8</v>
      </c>
      <c r="X61" s="7">
        <v>17.3739</v>
      </c>
      <c r="Y61" s="7">
        <f>IFERROR(__xludf.DUMMYFUNCTION("IF(V61=""PASS"", RANK.EQ(W61, FILTER($W$2:$W$142, $V$2:$V$142=""PASS""), 1) + COUNTIFS($W$2:$W$142, W61, $X$2:$X$142, ""&lt;""&amp;X61, $V$2:$V$142, ""PASS""), """")"),11.0)</f>
        <v>11</v>
      </c>
      <c r="Z61" s="8">
        <f t="shared" si="5"/>
        <v>19.39759036</v>
      </c>
      <c r="AA61" s="10">
        <f t="shared" si="6"/>
        <v>96.4710362</v>
      </c>
      <c r="AB61" s="11" t="b">
        <v>1</v>
      </c>
      <c r="AC61" s="8">
        <f t="shared" si="8"/>
        <v>91.4710362</v>
      </c>
      <c r="AD61" s="7"/>
    </row>
    <row r="62">
      <c r="A62" s="5">
        <v>3.13540006E8</v>
      </c>
      <c r="B62" s="6" t="s">
        <v>29</v>
      </c>
      <c r="C62" s="7">
        <v>1188626.0</v>
      </c>
      <c r="D62" s="7">
        <v>1.7783</v>
      </c>
      <c r="E62" s="7">
        <f>IFERROR(__xludf.DUMMYFUNCTION("IF(B62=""PASS"", RANK.EQ(C62, FILTER($C$2:$C$142, $B$2:$B$142=""PASS""), 1) + COUNTIFS($C$2:$C$142, C62, $D$2:$D$142, ""&lt;""&amp;D62, $B$2:$B$142, ""PASS""), """")"),110.0)</f>
        <v>110</v>
      </c>
      <c r="F62" s="8">
        <f t="shared" si="1"/>
        <v>15.7751938</v>
      </c>
      <c r="G62" s="6" t="s">
        <v>29</v>
      </c>
      <c r="H62" s="7">
        <v>5970680.0</v>
      </c>
      <c r="I62" s="7">
        <v>11.6441</v>
      </c>
      <c r="J62" s="7">
        <f>IFERROR(__xludf.DUMMYFUNCTION("IF(G62=""PASS"", RANK.EQ(H62, FILTER($H$2:$H$142, $G$2:$G$142=""PASS""), 1) + COUNTIFS($H$2:$H$142, H62, $I$2:$I$142, ""&lt;""&amp;I62, $G$2:$G$142, ""PASS""), """")"),100.0)</f>
        <v>100</v>
      </c>
      <c r="K62" s="8">
        <f t="shared" si="2"/>
        <v>16.1328125</v>
      </c>
      <c r="L62" s="6" t="s">
        <v>29</v>
      </c>
      <c r="M62" s="7">
        <v>2.561142E7</v>
      </c>
      <c r="N62" s="7">
        <v>52.1545</v>
      </c>
      <c r="O62" s="7">
        <f>IFERROR(__xludf.DUMMYFUNCTION("IF(L62=""PASS"", RANK.EQ(M62, FILTER($M$2:$M$142, $L$2:$L$142=""PASS""), 1) + COUNTIFS($M$2:$M$142, M62, $N$2:$N$142, ""&lt;""&amp;N62, $L$2:$L$142, ""PASS""), """")"),90.0)</f>
        <v>90</v>
      </c>
      <c r="P62" s="8">
        <f t="shared" si="3"/>
        <v>16.35245902</v>
      </c>
      <c r="Q62" s="6" t="s">
        <v>29</v>
      </c>
      <c r="R62" s="7">
        <v>2.6270908E7</v>
      </c>
      <c r="S62" s="7">
        <v>53.8772</v>
      </c>
      <c r="T62" s="7">
        <f>IFERROR(__xludf.DUMMYFUNCTION("IF(Q62=""PASS"", RANK.EQ(R62, FILTER($R$2:$R$142, $Q$2:$Q$142=""PASS""), 1) + COUNTIFS($R$2:$R$142, R62, $S$2:$S$142, ""&lt;""&amp;S62, $Q$2:$Q$142, ""PASS""), """")"),90.0)</f>
        <v>90</v>
      </c>
      <c r="U62" s="8">
        <f t="shared" si="4"/>
        <v>16.29166667</v>
      </c>
      <c r="V62" s="12" t="s">
        <v>31</v>
      </c>
      <c r="W62" s="12">
        <v>1.28625339E8</v>
      </c>
      <c r="X62" s="13">
        <v>7.2146</v>
      </c>
      <c r="Y62" s="13" t="str">
        <f>IFERROR(__xludf.DUMMYFUNCTION("IF(V62=""PASS"", RANK.EQ(W62, FILTER($W$2:$W$142, $V$2:$V$142=""PASS""), 1) + COUNTIFS($W$2:$W$142, W62, $X$2:$X$142, ""&lt;""&amp;X62, $V$2:$V$142, ""PASS""), """")"),"")</f>
        <v/>
      </c>
      <c r="Z62" s="14">
        <f t="shared" si="5"/>
        <v>15</v>
      </c>
      <c r="AA62" s="10">
        <f t="shared" si="6"/>
        <v>79.55213198</v>
      </c>
      <c r="AB62" s="15" t="b">
        <v>1</v>
      </c>
      <c r="AC62" s="8">
        <f t="shared" si="8"/>
        <v>74.55213198</v>
      </c>
      <c r="AD62" s="7"/>
    </row>
    <row r="63">
      <c r="A63" s="5">
        <v>3.13552047E8</v>
      </c>
      <c r="B63" s="6" t="s">
        <v>29</v>
      </c>
      <c r="C63" s="7">
        <v>1044739.0</v>
      </c>
      <c r="D63" s="7">
        <v>18.0253</v>
      </c>
      <c r="E63" s="7">
        <f>IFERROR(__xludf.DUMMYFUNCTION("IF(B63=""PASS"", RANK.EQ(C63, FILTER($C$2:$C$142, $B$2:$B$142=""PASS""), 1) + COUNTIFS($C$2:$C$142, C63, $D$2:$D$142, ""&lt;""&amp;D63, $B$2:$B$142, ""PASS""), """")"),95.0)</f>
        <v>95</v>
      </c>
      <c r="F63" s="8">
        <f t="shared" si="1"/>
        <v>16.35658915</v>
      </c>
      <c r="G63" s="6" t="s">
        <v>29</v>
      </c>
      <c r="H63" s="7">
        <v>7793580.0</v>
      </c>
      <c r="I63" s="7">
        <v>72.896</v>
      </c>
      <c r="J63" s="7">
        <f>IFERROR(__xludf.DUMMYFUNCTION("IF(G63=""PASS"", RANK.EQ(H63, FILTER($H$2:$H$142, $G$2:$G$142=""PASS""), 1) + COUNTIFS($H$2:$H$142, H63, $I$2:$I$142, ""&lt;""&amp;I63, $G$2:$G$142, ""PASS""), """")"),109.0)</f>
        <v>109</v>
      </c>
      <c r="K63" s="8">
        <f t="shared" si="2"/>
        <v>15.78125</v>
      </c>
      <c r="L63" s="6" t="s">
        <v>29</v>
      </c>
      <c r="M63" s="7">
        <v>3.6359372E7</v>
      </c>
      <c r="N63" s="7">
        <v>101.4374</v>
      </c>
      <c r="O63" s="7">
        <f>IFERROR(__xludf.DUMMYFUNCTION("IF(L63=""PASS"", RANK.EQ(M63, FILTER($M$2:$M$142, $L$2:$L$142=""PASS""), 1) + COUNTIFS($M$2:$M$142, M63, $N$2:$N$142, ""&lt;""&amp;N63, $L$2:$L$142, ""PASS""), """")"),101.0)</f>
        <v>101</v>
      </c>
      <c r="P63" s="8">
        <f t="shared" si="3"/>
        <v>15.90163934</v>
      </c>
      <c r="Q63" s="6" t="s">
        <v>29</v>
      </c>
      <c r="R63" s="7">
        <v>3.7573618E7</v>
      </c>
      <c r="S63" s="7">
        <v>99.7853</v>
      </c>
      <c r="T63" s="7">
        <f>IFERROR(__xludf.DUMMYFUNCTION("IF(Q63=""PASS"", RANK.EQ(R63, FILTER($R$2:$R$142, $Q$2:$Q$142=""PASS""), 1) + COUNTIFS($R$2:$R$142, R63, $S$2:$S$142, ""&lt;""&amp;S63, $Q$2:$Q$142, ""PASS""), """")"),100.0)</f>
        <v>100</v>
      </c>
      <c r="U63" s="8">
        <f t="shared" si="4"/>
        <v>15.875</v>
      </c>
      <c r="V63" s="12" t="s">
        <v>31</v>
      </c>
      <c r="W63" s="13">
        <v>1.34207744E8</v>
      </c>
      <c r="X63" s="13">
        <v>41.8366</v>
      </c>
      <c r="Y63" s="13" t="str">
        <f>IFERROR(__xludf.DUMMYFUNCTION("IF(V63=""PASS"", RANK.EQ(W63, FILTER($W$2:$W$142, $V$2:$V$142=""PASS""), 1) + COUNTIFS($W$2:$W$142, W63, $X$2:$X$142, ""&lt;""&amp;X63, $V$2:$V$142, ""PASS""), """")"),"")</f>
        <v/>
      </c>
      <c r="Z63" s="14">
        <f t="shared" si="5"/>
        <v>15</v>
      </c>
      <c r="AA63" s="10">
        <f t="shared" si="6"/>
        <v>78.91447849</v>
      </c>
      <c r="AB63" s="11" t="b">
        <v>0</v>
      </c>
      <c r="AC63" s="8">
        <f t="shared" si="8"/>
        <v>78.91447849</v>
      </c>
      <c r="AD63" s="7"/>
    </row>
    <row r="64">
      <c r="A64" s="5">
        <v>3.1358005E8</v>
      </c>
      <c r="B64" s="6" t="s">
        <v>29</v>
      </c>
      <c r="C64" s="7">
        <v>785764.0</v>
      </c>
      <c r="D64" s="7">
        <v>5.9749</v>
      </c>
      <c r="E64" s="7">
        <f>IFERROR(__xludf.DUMMYFUNCTION("IF(B64=""PASS"", RANK.EQ(C64, FILTER($C$2:$C$142, $B$2:$B$142=""PASS""), 1) + COUNTIFS($C$2:$C$142, C64, $D$2:$D$142, ""&lt;""&amp;D64, $B$2:$B$142, ""PASS""), """")"),61.0)</f>
        <v>61</v>
      </c>
      <c r="F64" s="8">
        <f t="shared" si="1"/>
        <v>17.6744186</v>
      </c>
      <c r="G64" s="6" t="s">
        <v>29</v>
      </c>
      <c r="H64" s="7">
        <v>3551362.0</v>
      </c>
      <c r="I64" s="7">
        <v>117.113</v>
      </c>
      <c r="J64" s="7">
        <f>IFERROR(__xludf.DUMMYFUNCTION("IF(G64=""PASS"", RANK.EQ(H64, FILTER($H$2:$H$142, $G$2:$G$142=""PASS""), 1) + COUNTIFS($H$2:$H$142, H64, $I$2:$I$142, ""&lt;""&amp;I64, $G$2:$G$142, ""PASS""), """")"),60.0)</f>
        <v>60</v>
      </c>
      <c r="K64" s="8">
        <f t="shared" si="2"/>
        <v>17.6953125</v>
      </c>
      <c r="L64" s="12" t="s">
        <v>31</v>
      </c>
      <c r="M64" s="12">
        <v>1.531946E7</v>
      </c>
      <c r="N64" s="13">
        <v>9.9388</v>
      </c>
      <c r="O64" s="13" t="str">
        <f>IFERROR(__xludf.DUMMYFUNCTION("IF(L64=""PASS"", RANK.EQ(M64, FILTER($M$2:$M$142, $L$2:$L$142=""PASS""), 1) + COUNTIFS($M$2:$M$142, M64, $N$2:$N$142, ""&lt;""&amp;N64, $L$2:$L$142, ""PASS""), """")"),"")</f>
        <v/>
      </c>
      <c r="P64" s="14">
        <f t="shared" si="3"/>
        <v>15</v>
      </c>
      <c r="Q64" s="12" t="s">
        <v>31</v>
      </c>
      <c r="R64" s="12">
        <v>1.5397191E7</v>
      </c>
      <c r="S64" s="13">
        <v>10.3525</v>
      </c>
      <c r="T64" s="13" t="str">
        <f>IFERROR(__xludf.DUMMYFUNCTION("IF(Q64=""PASS"", RANK.EQ(R64, FILTER($R$2:$R$142, $Q$2:$Q$142=""PASS""), 1) + COUNTIFS($R$2:$R$142, R64, $S$2:$S$142, ""&lt;""&amp;S64, $Q$2:$Q$142, ""PASS""), """")"),"")</f>
        <v/>
      </c>
      <c r="U64" s="14">
        <f t="shared" si="4"/>
        <v>15</v>
      </c>
      <c r="V64" s="12" t="s">
        <v>31</v>
      </c>
      <c r="W64" s="12">
        <v>1.28625339E8</v>
      </c>
      <c r="X64" s="13">
        <v>42.6941</v>
      </c>
      <c r="Y64" s="13" t="str">
        <f>IFERROR(__xludf.DUMMYFUNCTION("IF(V64=""PASS"", RANK.EQ(W64, FILTER($W$2:$W$142, $V$2:$V$142=""PASS""), 1) + COUNTIFS($W$2:$W$142, W64, $X$2:$X$142, ""&lt;""&amp;X64, $V$2:$V$142, ""PASS""), """")"),"")</f>
        <v/>
      </c>
      <c r="Z64" s="14">
        <f t="shared" si="5"/>
        <v>15</v>
      </c>
      <c r="AA64" s="10">
        <f t="shared" si="6"/>
        <v>80.3697311</v>
      </c>
      <c r="AB64" s="15" t="b">
        <v>1</v>
      </c>
      <c r="AC64" s="8">
        <f t="shared" si="8"/>
        <v>75.3697311</v>
      </c>
      <c r="AD64" s="7"/>
    </row>
    <row r="65">
      <c r="A65" s="5">
        <v>3.13580057E8</v>
      </c>
      <c r="B65" s="6" t="s">
        <v>29</v>
      </c>
      <c r="C65" s="7">
        <v>1222280.0</v>
      </c>
      <c r="D65" s="7">
        <v>0.6007</v>
      </c>
      <c r="E65" s="7">
        <f>IFERROR(__xludf.DUMMYFUNCTION("IF(B65=""PASS"", RANK.EQ(C65, FILTER($C$2:$C$142, $B$2:$B$142=""PASS""), 1) + COUNTIFS($C$2:$C$142, C65, $D$2:$D$142, ""&lt;""&amp;D65, $B$2:$B$142, ""PASS""), """")"),112.0)</f>
        <v>112</v>
      </c>
      <c r="F65" s="8">
        <f t="shared" si="1"/>
        <v>15.69767442</v>
      </c>
      <c r="G65" s="6" t="s">
        <v>29</v>
      </c>
      <c r="H65" s="7">
        <v>6241297.0</v>
      </c>
      <c r="I65" s="7">
        <v>2.8909</v>
      </c>
      <c r="J65" s="7">
        <f>IFERROR(__xludf.DUMMYFUNCTION("IF(G65=""PASS"", RANK.EQ(H65, FILTER($H$2:$H$142, $G$2:$G$142=""PASS""), 1) + COUNTIFS($H$2:$H$142, H65, $I$2:$I$142, ""&lt;""&amp;I65, $G$2:$G$142, ""PASS""), """")"),103.0)</f>
        <v>103</v>
      </c>
      <c r="K65" s="8">
        <f t="shared" si="2"/>
        <v>16.015625</v>
      </c>
      <c r="L65" s="6" t="s">
        <v>29</v>
      </c>
      <c r="M65" s="7">
        <v>2.6790157E7</v>
      </c>
      <c r="N65" s="7">
        <v>12.5623</v>
      </c>
      <c r="O65" s="7">
        <f>IFERROR(__xludf.DUMMYFUNCTION("IF(L65=""PASS"", RANK.EQ(M65, FILTER($M$2:$M$142, $L$2:$L$142=""PASS""), 1) + COUNTIFS($M$2:$M$142, M65, $N$2:$N$142, ""&lt;""&amp;N65, $L$2:$L$142, ""PASS""), """")"),93.0)</f>
        <v>93</v>
      </c>
      <c r="P65" s="8">
        <f t="shared" si="3"/>
        <v>16.2295082</v>
      </c>
      <c r="Q65" s="6" t="s">
        <v>29</v>
      </c>
      <c r="R65" s="7">
        <v>2.7524659E7</v>
      </c>
      <c r="S65" s="7">
        <v>12.6822</v>
      </c>
      <c r="T65" s="7">
        <f>IFERROR(__xludf.DUMMYFUNCTION("IF(Q65=""PASS"", RANK.EQ(R65, FILTER($R$2:$R$142, $Q$2:$Q$142=""PASS""), 1) + COUNTIFS($R$2:$R$142, R65, $S$2:$S$142, ""&lt;""&amp;S65, $Q$2:$Q$142, ""PASS""), """")"),93.0)</f>
        <v>93</v>
      </c>
      <c r="U65" s="8">
        <f t="shared" si="4"/>
        <v>16.16666667</v>
      </c>
      <c r="V65" s="6" t="s">
        <v>29</v>
      </c>
      <c r="W65" s="7">
        <v>1.28625339E8</v>
      </c>
      <c r="X65" s="7">
        <v>38.8617</v>
      </c>
      <c r="Y65" s="7">
        <f>IFERROR(__xludf.DUMMYFUNCTION("IF(V65=""PASS"", RANK.EQ(W65, FILTER($W$2:$W$142, $V$2:$V$142=""PASS""), 1) + COUNTIFS($W$2:$W$142, W65, $X$2:$X$142, ""&lt;""&amp;X65, $V$2:$V$142, ""PASS""), """")"),28.0)</f>
        <v>28</v>
      </c>
      <c r="Z65" s="8">
        <f t="shared" si="5"/>
        <v>18.37349398</v>
      </c>
      <c r="AA65" s="10">
        <f t="shared" si="6"/>
        <v>82.48296826</v>
      </c>
      <c r="AB65" s="11" t="b">
        <v>0</v>
      </c>
      <c r="AC65" s="8">
        <f t="shared" si="8"/>
        <v>82.48296826</v>
      </c>
      <c r="AD65" s="7"/>
    </row>
    <row r="66">
      <c r="A66" s="5">
        <v>3.13580059E8</v>
      </c>
      <c r="B66" s="6" t="s">
        <v>29</v>
      </c>
      <c r="C66" s="7">
        <v>1549663.0</v>
      </c>
      <c r="D66" s="7">
        <v>160.4599</v>
      </c>
      <c r="E66" s="7">
        <f>IFERROR(__xludf.DUMMYFUNCTION("IF(B66=""PASS"", RANK.EQ(C66, FILTER($C$2:$C$142, $B$2:$B$142=""PASS""), 1) + COUNTIFS($C$2:$C$142, C66, $D$2:$D$142, ""&lt;""&amp;D66, $B$2:$B$142, ""PASS""), """")"),118.0)</f>
        <v>118</v>
      </c>
      <c r="F66" s="8">
        <f t="shared" si="1"/>
        <v>15.46511628</v>
      </c>
      <c r="G66" s="6" t="s">
        <v>29</v>
      </c>
      <c r="H66" s="7">
        <v>8637977.0</v>
      </c>
      <c r="I66" s="7">
        <v>161.1157</v>
      </c>
      <c r="J66" s="7">
        <f>IFERROR(__xludf.DUMMYFUNCTION("IF(G66=""PASS"", RANK.EQ(H66, FILTER($H$2:$H$142, $G$2:$G$142=""PASS""), 1) + COUNTIFS($H$2:$H$142, H66, $I$2:$I$142, ""&lt;""&amp;I66, $G$2:$G$142, ""PASS""), """")"),117.0)</f>
        <v>117</v>
      </c>
      <c r="K66" s="8">
        <f t="shared" si="2"/>
        <v>15.46875</v>
      </c>
      <c r="L66" s="6" t="s">
        <v>29</v>
      </c>
      <c r="M66" s="7">
        <v>3.731548E7</v>
      </c>
      <c r="N66" s="7">
        <v>163.7317</v>
      </c>
      <c r="O66" s="7">
        <f>IFERROR(__xludf.DUMMYFUNCTION("IF(L66=""PASS"", RANK.EQ(M66, FILTER($M$2:$M$142, $L$2:$L$142=""PASS""), 1) + COUNTIFS($M$2:$M$142, M66, $N$2:$N$142, ""&lt;""&amp;N66, $L$2:$L$142, ""PASS""), """")"),107.0)</f>
        <v>107</v>
      </c>
      <c r="P66" s="8">
        <f t="shared" si="3"/>
        <v>15.6557377</v>
      </c>
      <c r="Q66" s="6" t="s">
        <v>29</v>
      </c>
      <c r="R66" s="7">
        <v>3.8594668E7</v>
      </c>
      <c r="S66" s="7">
        <v>163.7083</v>
      </c>
      <c r="T66" s="7">
        <f>IFERROR(__xludf.DUMMYFUNCTION("IF(Q66=""PASS"", RANK.EQ(R66, FILTER($R$2:$R$142, $Q$2:$Q$142=""PASS""), 1) + COUNTIFS($R$2:$R$142, R66, $S$2:$S$142, ""&lt;""&amp;S66, $Q$2:$Q$142, ""PASS""), """")"),107.0)</f>
        <v>107</v>
      </c>
      <c r="U66" s="8">
        <f t="shared" si="4"/>
        <v>15.58333333</v>
      </c>
      <c r="V66" s="6" t="s">
        <v>29</v>
      </c>
      <c r="W66" s="7">
        <v>1.34217743E8</v>
      </c>
      <c r="X66" s="7">
        <v>175.4405</v>
      </c>
      <c r="Y66" s="7">
        <f>IFERROR(__xludf.DUMMYFUNCTION("IF(V66=""PASS"", RANK.EQ(W66, FILTER($W$2:$W$142, $V$2:$V$142=""PASS""), 1) + COUNTIFS($W$2:$W$142, W66, $X$2:$X$142, ""&lt;""&amp;X66, $V$2:$V$142, ""PASS""), """")"),81.0)</f>
        <v>81</v>
      </c>
      <c r="Z66" s="8">
        <f t="shared" si="5"/>
        <v>15.18072289</v>
      </c>
      <c r="AA66" s="10">
        <f t="shared" si="6"/>
        <v>77.35366021</v>
      </c>
      <c r="AB66" s="11" t="b">
        <v>0</v>
      </c>
      <c r="AC66" s="8">
        <f t="shared" si="8"/>
        <v>77.35366021</v>
      </c>
      <c r="AD66" s="7"/>
    </row>
    <row r="67">
      <c r="A67" s="5">
        <v>3.1358006E8</v>
      </c>
      <c r="B67" s="6" t="s">
        <v>29</v>
      </c>
      <c r="C67" s="7">
        <v>689948.0</v>
      </c>
      <c r="D67" s="7">
        <v>0.2919</v>
      </c>
      <c r="E67" s="7">
        <f>IFERROR(__xludf.DUMMYFUNCTION("IF(B67=""PASS"", RANK.EQ(C67, FILTER($C$2:$C$142, $B$2:$B$142=""PASS""), 1) + COUNTIFS($C$2:$C$142, C67, $D$2:$D$142, ""&lt;""&amp;D67, $B$2:$B$142, ""PASS""), """")"),32.0)</f>
        <v>32</v>
      </c>
      <c r="F67" s="8">
        <f t="shared" si="1"/>
        <v>18.79844961</v>
      </c>
      <c r="G67" s="6" t="s">
        <v>29</v>
      </c>
      <c r="H67" s="7">
        <v>3020411.0</v>
      </c>
      <c r="I67" s="7">
        <v>1.4708</v>
      </c>
      <c r="J67" s="7">
        <f>IFERROR(__xludf.DUMMYFUNCTION("IF(G67=""PASS"", RANK.EQ(H67, FILTER($H$2:$H$142, $G$2:$G$142=""PASS""), 1) + COUNTIFS($H$2:$H$142, H67, $I$2:$I$142, ""&lt;""&amp;I67, $G$2:$G$142, ""PASS""), """")"),35.0)</f>
        <v>35</v>
      </c>
      <c r="K67" s="8">
        <f t="shared" si="2"/>
        <v>18.671875</v>
      </c>
      <c r="L67" s="6" t="s">
        <v>29</v>
      </c>
      <c r="M67" s="7">
        <v>1.2968243E7</v>
      </c>
      <c r="N67" s="7">
        <v>7.198</v>
      </c>
      <c r="O67" s="7">
        <f>IFERROR(__xludf.DUMMYFUNCTION("IF(L67=""PASS"", RANK.EQ(M67, FILTER($M$2:$M$142, $L$2:$L$142=""PASS""), 1) + COUNTIFS($M$2:$M$142, M67, $N$2:$N$142, ""&lt;""&amp;N67, $L$2:$L$142, ""PASS""), """")"),27.0)</f>
        <v>27</v>
      </c>
      <c r="P67" s="8">
        <f t="shared" si="3"/>
        <v>18.93442623</v>
      </c>
      <c r="Q67" s="6" t="s">
        <v>29</v>
      </c>
      <c r="R67" s="7">
        <v>1.2976789E7</v>
      </c>
      <c r="S67" s="7">
        <v>7.3913</v>
      </c>
      <c r="T67" s="7">
        <f>IFERROR(__xludf.DUMMYFUNCTION("IF(Q67=""PASS"", RANK.EQ(R67, FILTER($R$2:$R$142, $Q$2:$Q$142=""PASS""), 1) + COUNTIFS($R$2:$R$142, R67, $S$2:$S$142, ""&lt;""&amp;S67, $Q$2:$Q$142, ""PASS""), """")"),25.0)</f>
        <v>25</v>
      </c>
      <c r="U67" s="8">
        <f t="shared" si="4"/>
        <v>19</v>
      </c>
      <c r="V67" s="6" t="s">
        <v>29</v>
      </c>
      <c r="W67" s="7">
        <v>1.28625339E8</v>
      </c>
      <c r="X67" s="7">
        <v>37.3805</v>
      </c>
      <c r="Y67" s="7">
        <f>IFERROR(__xludf.DUMMYFUNCTION("IF(V67=""PASS"", RANK.EQ(W67, FILTER($W$2:$W$142, $V$2:$V$142=""PASS""), 1) + COUNTIFS($W$2:$W$142, W67, $X$2:$X$142, ""&lt;""&amp;X67, $V$2:$V$142, ""PASS""), """")"),27.0)</f>
        <v>27</v>
      </c>
      <c r="Z67" s="8">
        <f t="shared" si="5"/>
        <v>18.43373494</v>
      </c>
      <c r="AA67" s="10">
        <f t="shared" si="6"/>
        <v>93.83848578</v>
      </c>
      <c r="AB67" s="11" t="b">
        <v>0</v>
      </c>
      <c r="AC67" s="8">
        <f t="shared" si="8"/>
        <v>93.83848578</v>
      </c>
      <c r="AD67" s="7"/>
    </row>
    <row r="68">
      <c r="A68" s="5">
        <v>3.13580061E8</v>
      </c>
      <c r="B68" s="6" t="s">
        <v>29</v>
      </c>
      <c r="C68" s="7">
        <v>1686041.0</v>
      </c>
      <c r="D68" s="7">
        <v>0.1556</v>
      </c>
      <c r="E68" s="7">
        <f>IFERROR(__xludf.DUMMYFUNCTION("IF(B68=""PASS"", RANK.EQ(C68, FILTER($C$2:$C$142, $B$2:$B$142=""PASS""), 1) + COUNTIFS($C$2:$C$142, C68, $D$2:$D$142, ""&lt;""&amp;D68, $B$2:$B$142, ""PASS""), """")"),128.0)</f>
        <v>128</v>
      </c>
      <c r="F68" s="8">
        <f t="shared" si="1"/>
        <v>15.07751938</v>
      </c>
      <c r="G68" s="6" t="s">
        <v>29</v>
      </c>
      <c r="H68" s="7">
        <v>8790279.0</v>
      </c>
      <c r="I68" s="7">
        <v>0.7666</v>
      </c>
      <c r="J68" s="7">
        <f>IFERROR(__xludf.DUMMYFUNCTION("IF(G68=""PASS"", RANK.EQ(H68, FILTER($H$2:$H$142, $G$2:$G$142=""PASS""), 1) + COUNTIFS($H$2:$H$142, H68, $I$2:$I$142, ""&lt;""&amp;I68, $G$2:$G$142, ""PASS""), """")"),127.0)</f>
        <v>127</v>
      </c>
      <c r="K68" s="8">
        <f t="shared" si="2"/>
        <v>15.078125</v>
      </c>
      <c r="L68" s="6" t="s">
        <v>29</v>
      </c>
      <c r="M68" s="7">
        <v>3.7449829E7</v>
      </c>
      <c r="N68" s="7">
        <v>3.0839</v>
      </c>
      <c r="O68" s="7">
        <f>IFERROR(__xludf.DUMMYFUNCTION("IF(L68=""PASS"", RANK.EQ(M68, FILTER($M$2:$M$142, $L$2:$L$142=""PASS""), 1) + COUNTIFS($M$2:$M$142, M68, $N$2:$N$142, ""&lt;""&amp;N68, $L$2:$L$142, ""PASS""), """")"),120.0)</f>
        <v>120</v>
      </c>
      <c r="P68" s="8">
        <f t="shared" si="3"/>
        <v>15.12295082</v>
      </c>
      <c r="Q68" s="6" t="s">
        <v>29</v>
      </c>
      <c r="R68" s="7">
        <v>3.8672677E7</v>
      </c>
      <c r="S68" s="7">
        <v>3.1695</v>
      </c>
      <c r="T68" s="7">
        <f>IFERROR(__xludf.DUMMYFUNCTION("IF(Q68=""PASS"", RANK.EQ(R68, FILTER($R$2:$R$142, $Q$2:$Q$142=""PASS""), 1) + COUNTIFS($R$2:$R$142, R68, $S$2:$S$142, ""&lt;""&amp;S68, $Q$2:$Q$142, ""PASS""), """")"),119.0)</f>
        <v>119</v>
      </c>
      <c r="U68" s="8">
        <f t="shared" si="4"/>
        <v>15.08333333</v>
      </c>
      <c r="V68" s="6" t="s">
        <v>29</v>
      </c>
      <c r="W68" s="7">
        <v>1.34217743E8</v>
      </c>
      <c r="X68" s="7">
        <v>14.8744</v>
      </c>
      <c r="Y68" s="7">
        <f>IFERROR(__xludf.DUMMYFUNCTION("IF(V68=""PASS"", RANK.EQ(W68, FILTER($W$2:$W$142, $V$2:$V$142=""PASS""), 1) + COUNTIFS($W$2:$W$142, W68, $X$2:$X$142, ""&lt;""&amp;X68, $V$2:$V$142, ""PASS""), """")"),79.0)</f>
        <v>79</v>
      </c>
      <c r="Z68" s="8">
        <f t="shared" si="5"/>
        <v>15.30120482</v>
      </c>
      <c r="AA68" s="10">
        <f t="shared" si="6"/>
        <v>75.66313335</v>
      </c>
      <c r="AB68" s="11" t="b">
        <v>0</v>
      </c>
      <c r="AC68" s="8">
        <f t="shared" si="8"/>
        <v>75.66313335</v>
      </c>
      <c r="AD68" s="7"/>
    </row>
    <row r="69">
      <c r="A69" s="5">
        <v>3.13580062E8</v>
      </c>
      <c r="B69" s="6" t="s">
        <v>29</v>
      </c>
      <c r="C69" s="7">
        <v>1682441.0</v>
      </c>
      <c r="D69" s="7">
        <v>5.1893</v>
      </c>
      <c r="E69" s="7">
        <f>IFERROR(__xludf.DUMMYFUNCTION("IF(B69=""PASS"", RANK.EQ(C69, FILTER($C$2:$C$142, $B$2:$B$142=""PASS""), 1) + COUNTIFS($C$2:$C$142, C69, $D$2:$D$142, ""&lt;""&amp;D69, $B$2:$B$142, ""PASS""), """")"),124.0)</f>
        <v>124</v>
      </c>
      <c r="F69" s="8">
        <f t="shared" si="1"/>
        <v>15.23255814</v>
      </c>
      <c r="G69" s="6" t="s">
        <v>29</v>
      </c>
      <c r="H69" s="7">
        <v>8789146.0</v>
      </c>
      <c r="I69" s="7">
        <v>9.6914</v>
      </c>
      <c r="J69" s="7">
        <f>IFERROR(__xludf.DUMMYFUNCTION("IF(G69=""PASS"", RANK.EQ(H69, FILTER($H$2:$H$142, $G$2:$G$142=""PASS""), 1) + COUNTIFS($H$2:$H$142, H69, $I$2:$I$142, ""&lt;""&amp;I69, $G$2:$G$142, ""PASS""), """")"),123.0)</f>
        <v>123</v>
      </c>
      <c r="K69" s="8">
        <f t="shared" si="2"/>
        <v>15.234375</v>
      </c>
      <c r="L69" s="6" t="s">
        <v>29</v>
      </c>
      <c r="M69" s="7">
        <v>3.7449512E7</v>
      </c>
      <c r="N69" s="7">
        <v>23.3063</v>
      </c>
      <c r="O69" s="7">
        <f>IFERROR(__xludf.DUMMYFUNCTION("IF(L69=""PASS"", RANK.EQ(M69, FILTER($M$2:$M$142, $L$2:$L$142=""PASS""), 1) + COUNTIFS($M$2:$M$142, M69, $N$2:$N$142, ""&lt;""&amp;N69, $L$2:$L$142, ""PASS""), """")"),116.0)</f>
        <v>116</v>
      </c>
      <c r="P69" s="8">
        <f t="shared" si="3"/>
        <v>15.28688525</v>
      </c>
      <c r="Q69" s="6" t="s">
        <v>29</v>
      </c>
      <c r="R69" s="7">
        <v>3.8672362E7</v>
      </c>
      <c r="S69" s="7">
        <v>25.0289</v>
      </c>
      <c r="T69" s="7">
        <f>IFERROR(__xludf.DUMMYFUNCTION("IF(Q69=""PASS"", RANK.EQ(R69, FILTER($R$2:$R$142, $Q$2:$Q$142=""PASS""), 1) + COUNTIFS($R$2:$R$142, R69, $S$2:$S$142, ""&lt;""&amp;S69, $Q$2:$Q$142, ""PASS""), """")"),115.0)</f>
        <v>115</v>
      </c>
      <c r="U69" s="8">
        <f t="shared" si="4"/>
        <v>15.25</v>
      </c>
      <c r="V69" s="6" t="s">
        <v>29</v>
      </c>
      <c r="W69" s="7">
        <v>1.34217743E8</v>
      </c>
      <c r="X69" s="7">
        <v>76.92</v>
      </c>
      <c r="Y69" s="7">
        <f>IFERROR(__xludf.DUMMYFUNCTION("IF(V69=""PASS"", RANK.EQ(W69, FILTER($W$2:$W$142, $V$2:$V$142=""PASS""), 1) + COUNTIFS($W$2:$W$142, W69, $X$2:$X$142, ""&lt;""&amp;X69, $V$2:$V$142, ""PASS""), """")"),80.0)</f>
        <v>80</v>
      </c>
      <c r="Z69" s="8">
        <f t="shared" si="5"/>
        <v>15.24096386</v>
      </c>
      <c r="AA69" s="10">
        <f t="shared" si="6"/>
        <v>76.24478224</v>
      </c>
      <c r="AB69" s="11" t="b">
        <v>0</v>
      </c>
      <c r="AC69" s="8">
        <f t="shared" si="8"/>
        <v>76.24478224</v>
      </c>
      <c r="AD69" s="7"/>
    </row>
    <row r="70">
      <c r="A70" s="5">
        <v>3.13580067E8</v>
      </c>
      <c r="B70" s="6" t="s">
        <v>29</v>
      </c>
      <c r="C70" s="7">
        <v>936343.0</v>
      </c>
      <c r="D70" s="7">
        <v>1.2477</v>
      </c>
      <c r="E70" s="7">
        <f>IFERROR(__xludf.DUMMYFUNCTION("IF(B70=""PASS"", RANK.EQ(C70, FILTER($C$2:$C$142, $B$2:$B$142=""PASS""), 1) + COUNTIFS($C$2:$C$142, C70, $D$2:$D$142, ""&lt;""&amp;D70, $B$2:$B$142, ""PASS""), """")"),76.0)</f>
        <v>76</v>
      </c>
      <c r="F70" s="8">
        <f t="shared" si="1"/>
        <v>17.09302326</v>
      </c>
      <c r="G70" s="6" t="s">
        <v>29</v>
      </c>
      <c r="H70" s="7">
        <v>4553126.0</v>
      </c>
      <c r="I70" s="7">
        <v>6.3119</v>
      </c>
      <c r="J70" s="7">
        <f>IFERROR(__xludf.DUMMYFUNCTION("IF(G70=""PASS"", RANK.EQ(H70, FILTER($H$2:$H$142, $G$2:$G$142=""PASS""), 1) + COUNTIFS($H$2:$H$142, H70, $I$2:$I$142, ""&lt;""&amp;I70, $G$2:$G$142, ""PASS""), """")"),77.0)</f>
        <v>77</v>
      </c>
      <c r="K70" s="8">
        <f t="shared" si="2"/>
        <v>17.03125</v>
      </c>
      <c r="L70" s="6" t="s">
        <v>29</v>
      </c>
      <c r="M70" s="7">
        <v>1.9465873E7</v>
      </c>
      <c r="N70" s="7">
        <v>26.5206</v>
      </c>
      <c r="O70" s="7">
        <f>IFERROR(__xludf.DUMMYFUNCTION("IF(L70=""PASS"", RANK.EQ(M70, FILTER($M$2:$M$142, $L$2:$L$142=""PASS""), 1) + COUNTIFS($M$2:$M$142, M70, $N$2:$N$142, ""&lt;""&amp;N70, $L$2:$L$142, ""PASS""), """")"),69.0)</f>
        <v>69</v>
      </c>
      <c r="P70" s="8">
        <f t="shared" si="3"/>
        <v>17.21311475</v>
      </c>
      <c r="Q70" s="6" t="s">
        <v>29</v>
      </c>
      <c r="R70" s="7">
        <v>1.9859626E7</v>
      </c>
      <c r="S70" s="7">
        <v>27.4586</v>
      </c>
      <c r="T70" s="7">
        <f>IFERROR(__xludf.DUMMYFUNCTION("IF(Q70=""PASS"", RANK.EQ(R70, FILTER($R$2:$R$142, $Q$2:$Q$142=""PASS""), 1) + COUNTIFS($R$2:$R$142, R70, $S$2:$S$142, ""&lt;""&amp;S70, $Q$2:$Q$142, ""PASS""), """")"),69.0)</f>
        <v>69</v>
      </c>
      <c r="U70" s="8">
        <f t="shared" si="4"/>
        <v>17.16666667</v>
      </c>
      <c r="V70" s="12" t="s">
        <v>31</v>
      </c>
      <c r="W70" s="13">
        <v>1.34217743E8</v>
      </c>
      <c r="X70" s="13">
        <v>90.5706</v>
      </c>
      <c r="Y70" s="13" t="str">
        <f>IFERROR(__xludf.DUMMYFUNCTION("IF(V70=""PASS"", RANK.EQ(W70, FILTER($W$2:$W$142, $V$2:$V$142=""PASS""), 1) + COUNTIFS($W$2:$W$142, W70, $X$2:$X$142, ""&lt;""&amp;X70, $V$2:$V$142, ""PASS""), """")"),"")</f>
        <v/>
      </c>
      <c r="Z70" s="14">
        <f t="shared" si="5"/>
        <v>15</v>
      </c>
      <c r="AA70" s="10">
        <f t="shared" si="6"/>
        <v>83.50405468</v>
      </c>
      <c r="AB70" s="11" t="b">
        <v>0</v>
      </c>
      <c r="AC70" s="8">
        <f t="shared" si="8"/>
        <v>83.50405468</v>
      </c>
      <c r="AD70" s="7"/>
    </row>
    <row r="71">
      <c r="A71" s="5">
        <v>3.13580068E8</v>
      </c>
      <c r="B71" s="6" t="s">
        <v>29</v>
      </c>
      <c r="C71" s="7">
        <v>875148.0</v>
      </c>
      <c r="D71" s="7">
        <v>27.2145</v>
      </c>
      <c r="E71" s="7">
        <f>IFERROR(__xludf.DUMMYFUNCTION("IF(B71=""PASS"", RANK.EQ(C71, FILTER($C$2:$C$142, $B$2:$B$142=""PASS""), 1) + COUNTIFS($C$2:$C$142, C71, $D$2:$D$142, ""&lt;""&amp;D71, $B$2:$B$142, ""PASS""), """")"),71.0)</f>
        <v>71</v>
      </c>
      <c r="F71" s="8">
        <f t="shared" si="1"/>
        <v>17.28682171</v>
      </c>
      <c r="G71" s="6" t="s">
        <v>29</v>
      </c>
      <c r="H71" s="7">
        <v>7135510.0</v>
      </c>
      <c r="I71" s="7">
        <v>150.7477</v>
      </c>
      <c r="J71" s="7">
        <f>IFERROR(__xludf.DUMMYFUNCTION("IF(G71=""PASS"", RANK.EQ(H71, FILTER($H$2:$H$142, $G$2:$G$142=""PASS""), 1) + COUNTIFS($H$2:$H$142, H71, $I$2:$I$142, ""&lt;""&amp;I71, $G$2:$G$142, ""PASS""), """")"),107.0)</f>
        <v>107</v>
      </c>
      <c r="K71" s="8">
        <f t="shared" si="2"/>
        <v>15.859375</v>
      </c>
      <c r="L71" s="6" t="s">
        <v>29</v>
      </c>
      <c r="M71" s="7">
        <v>3.6896649E7</v>
      </c>
      <c r="N71" s="7">
        <v>153.6384</v>
      </c>
      <c r="O71" s="7">
        <f>IFERROR(__xludf.DUMMYFUNCTION("IF(L71=""PASS"", RANK.EQ(M71, FILTER($M$2:$M$142, $L$2:$L$142=""PASS""), 1) + COUNTIFS($M$2:$M$142, M71, $N$2:$N$142, ""&lt;""&amp;N71, $L$2:$L$142, ""PASS""), """")"),102.0)</f>
        <v>102</v>
      </c>
      <c r="P71" s="8">
        <f t="shared" si="3"/>
        <v>15.86065574</v>
      </c>
      <c r="Q71" s="6" t="s">
        <v>29</v>
      </c>
      <c r="R71" s="7">
        <v>3.8098297E7</v>
      </c>
      <c r="S71" s="7">
        <v>153.5953</v>
      </c>
      <c r="T71" s="7">
        <f>IFERROR(__xludf.DUMMYFUNCTION("IF(Q71=""PASS"", RANK.EQ(R71, FILTER($R$2:$R$142, $Q$2:$Q$142=""PASS""), 1) + COUNTIFS($R$2:$R$142, R71, $S$2:$S$142, ""&lt;""&amp;S71, $Q$2:$Q$142, ""PASS""), """")"),101.0)</f>
        <v>101</v>
      </c>
      <c r="U71" s="8">
        <f t="shared" si="4"/>
        <v>15.83333333</v>
      </c>
      <c r="V71" s="6" t="s">
        <v>29</v>
      </c>
      <c r="W71" s="7">
        <v>1.34214067E8</v>
      </c>
      <c r="X71" s="7">
        <v>158.7129</v>
      </c>
      <c r="Y71" s="7">
        <f>IFERROR(__xludf.DUMMYFUNCTION("IF(V71=""PASS"", RANK.EQ(W71, FILTER($W$2:$W$142, $V$2:$V$142=""PASS""), 1) + COUNTIFS($W$2:$W$142, W71, $X$2:$X$142, ""&lt;""&amp;X71, $V$2:$V$142, ""PASS""), """")"),74.0)</f>
        <v>74</v>
      </c>
      <c r="Z71" s="8">
        <f t="shared" si="5"/>
        <v>15.60240964</v>
      </c>
      <c r="AA71" s="10">
        <f t="shared" si="6"/>
        <v>80.44259542</v>
      </c>
      <c r="AB71" s="11" t="b">
        <v>1</v>
      </c>
      <c r="AC71" s="8">
        <f t="shared" si="8"/>
        <v>75.44259542</v>
      </c>
      <c r="AD71" s="7"/>
    </row>
    <row r="72">
      <c r="A72" s="5">
        <v>3.13580072E8</v>
      </c>
      <c r="B72" s="6" t="s">
        <v>29</v>
      </c>
      <c r="C72" s="7">
        <v>935329.0</v>
      </c>
      <c r="D72" s="7">
        <v>47.6288</v>
      </c>
      <c r="E72" s="7">
        <f>IFERROR(__xludf.DUMMYFUNCTION("IF(B72=""PASS"", RANK.EQ(C72, FILTER($C$2:$C$142, $B$2:$B$142=""PASS""), 1) + COUNTIFS($C$2:$C$142, C72, $D$2:$D$142, ""&lt;""&amp;D72, $B$2:$B$142, ""PASS""), """")"),75.0)</f>
        <v>75</v>
      </c>
      <c r="F72" s="8">
        <f t="shared" si="1"/>
        <v>17.13178295</v>
      </c>
      <c r="G72" s="6" t="s">
        <v>29</v>
      </c>
      <c r="H72" s="7">
        <v>8305754.0</v>
      </c>
      <c r="I72" s="7">
        <v>141.6347</v>
      </c>
      <c r="J72" s="7">
        <f>IFERROR(__xludf.DUMMYFUNCTION("IF(G72=""PASS"", RANK.EQ(H72, FILTER($H$2:$H$142, $G$2:$G$142=""PASS""), 1) + COUNTIFS($H$2:$H$142, H72, $I$2:$I$142, ""&lt;""&amp;I72, $G$2:$G$142, ""PASS""), """")"),112.0)</f>
        <v>112</v>
      </c>
      <c r="K72" s="8">
        <f t="shared" si="2"/>
        <v>15.6640625</v>
      </c>
      <c r="L72" s="6" t="s">
        <v>29</v>
      </c>
      <c r="M72" s="7">
        <v>3.738268E7</v>
      </c>
      <c r="N72" s="7">
        <v>143.2524</v>
      </c>
      <c r="O72" s="7">
        <f>IFERROR(__xludf.DUMMYFUNCTION("IF(L72=""PASS"", RANK.EQ(M72, FILTER($M$2:$M$142, $L$2:$L$142=""PASS""), 1) + COUNTIFS($M$2:$M$142, M72, $N$2:$N$142, ""&lt;""&amp;N72, $L$2:$L$142, ""PASS""), """")"),110.0)</f>
        <v>110</v>
      </c>
      <c r="P72" s="8">
        <f t="shared" si="3"/>
        <v>15.53278689</v>
      </c>
      <c r="Q72" s="6" t="s">
        <v>29</v>
      </c>
      <c r="R72" s="7">
        <v>3.8619223E7</v>
      </c>
      <c r="S72" s="7">
        <v>143.6545</v>
      </c>
      <c r="T72" s="7">
        <f>IFERROR(__xludf.DUMMYFUNCTION("IF(Q72=""PASS"", RANK.EQ(R72, FILTER($R$2:$R$142, $Q$2:$Q$142=""PASS""), 1) + COUNTIFS($R$2:$R$142, R72, $S$2:$S$142, ""&lt;""&amp;S72, $Q$2:$Q$142, ""PASS""), """")"),109.0)</f>
        <v>109</v>
      </c>
      <c r="U72" s="8">
        <f t="shared" si="4"/>
        <v>15.5</v>
      </c>
      <c r="V72" s="6" t="s">
        <v>29</v>
      </c>
      <c r="W72" s="7">
        <v>1.34212244E8</v>
      </c>
      <c r="X72" s="7">
        <v>150.6419</v>
      </c>
      <c r="Y72" s="7">
        <f>IFERROR(__xludf.DUMMYFUNCTION("IF(V72=""PASS"", RANK.EQ(W72, FILTER($W$2:$W$142, $V$2:$V$142=""PASS""), 1) + COUNTIFS($W$2:$W$142, W72, $X$2:$X$142, ""&lt;""&amp;X72, $V$2:$V$142, ""PASS""), """")"),73.0)</f>
        <v>73</v>
      </c>
      <c r="Z72" s="8">
        <f t="shared" si="5"/>
        <v>15.6626506</v>
      </c>
      <c r="AA72" s="10">
        <f t="shared" si="6"/>
        <v>79.49128293</v>
      </c>
      <c r="AB72" s="11" t="b">
        <v>0</v>
      </c>
      <c r="AC72" s="8">
        <f t="shared" si="8"/>
        <v>79.49128293</v>
      </c>
      <c r="AD72" s="7"/>
    </row>
    <row r="73">
      <c r="A73" s="5">
        <v>3.13580077E8</v>
      </c>
      <c r="B73" s="6" t="s">
        <v>29</v>
      </c>
      <c r="C73" s="7">
        <v>913553.0</v>
      </c>
      <c r="D73" s="7">
        <v>3.1258</v>
      </c>
      <c r="E73" s="7">
        <f>IFERROR(__xludf.DUMMYFUNCTION("IF(B73=""PASS"", RANK.EQ(C73, FILTER($C$2:$C$142, $B$2:$B$142=""PASS""), 1) + COUNTIFS($C$2:$C$142, C73, $D$2:$D$142, ""&lt;""&amp;D73, $B$2:$B$142, ""PASS""), """")"),72.0)</f>
        <v>72</v>
      </c>
      <c r="F73" s="8">
        <f t="shared" si="1"/>
        <v>17.24806202</v>
      </c>
      <c r="G73" s="6" t="s">
        <v>29</v>
      </c>
      <c r="H73" s="7">
        <v>4323560.0</v>
      </c>
      <c r="I73" s="7">
        <v>16.4608</v>
      </c>
      <c r="J73" s="7">
        <f>IFERROR(__xludf.DUMMYFUNCTION("IF(G73=""PASS"", RANK.EQ(H73, FILTER($H$2:$H$142, $G$2:$G$142=""PASS""), 1) + COUNTIFS($H$2:$H$142, H73, $I$2:$I$142, ""&lt;""&amp;I73, $G$2:$G$142, ""PASS""), """")"),70.0)</f>
        <v>70</v>
      </c>
      <c r="K73" s="8">
        <f t="shared" si="2"/>
        <v>17.3046875</v>
      </c>
      <c r="L73" s="6" t="s">
        <v>29</v>
      </c>
      <c r="M73" s="7">
        <v>1.8536807E7</v>
      </c>
      <c r="N73" s="7">
        <v>68.8786</v>
      </c>
      <c r="O73" s="7">
        <f>IFERROR(__xludf.DUMMYFUNCTION("IF(L73=""PASS"", RANK.EQ(M73, FILTER($M$2:$M$142, $L$2:$L$142=""PASS""), 1) + COUNTIFS($M$2:$M$142, M73, $N$2:$N$142, ""&lt;""&amp;N73, $L$2:$L$142, ""PASS""), """")"),60.0)</f>
        <v>60</v>
      </c>
      <c r="P73" s="8">
        <f t="shared" si="3"/>
        <v>17.58196721</v>
      </c>
      <c r="Q73" s="6" t="s">
        <v>29</v>
      </c>
      <c r="R73" s="7">
        <v>1.8844478E7</v>
      </c>
      <c r="S73" s="7">
        <v>69.5447</v>
      </c>
      <c r="T73" s="7">
        <f>IFERROR(__xludf.DUMMYFUNCTION("IF(Q73=""PASS"", RANK.EQ(R73, FILTER($R$2:$R$142, $Q$2:$Q$142=""PASS""), 1) + COUNTIFS($R$2:$R$142, R73, $S$2:$S$142, ""&lt;""&amp;S73, $Q$2:$Q$142, ""PASS""), """")"),61.0)</f>
        <v>61</v>
      </c>
      <c r="U73" s="8">
        <f t="shared" si="4"/>
        <v>17.5</v>
      </c>
      <c r="V73" s="12" t="s">
        <v>31</v>
      </c>
      <c r="W73" s="13">
        <v>1.31421541E8</v>
      </c>
      <c r="X73" s="13">
        <v>130.5927</v>
      </c>
      <c r="Y73" s="13" t="str">
        <f>IFERROR(__xludf.DUMMYFUNCTION("IF(V73=""PASS"", RANK.EQ(W73, FILTER($W$2:$W$142, $V$2:$V$142=""PASS""), 1) + COUNTIFS($W$2:$W$142, W73, $X$2:$X$142, ""&lt;""&amp;X73, $V$2:$V$142, ""PASS""), """")"),"")</f>
        <v/>
      </c>
      <c r="Z73" s="14">
        <f t="shared" si="5"/>
        <v>15</v>
      </c>
      <c r="AA73" s="10">
        <f t="shared" si="6"/>
        <v>84.63471673</v>
      </c>
      <c r="AB73" s="11" t="b">
        <v>0</v>
      </c>
      <c r="AC73" s="8">
        <f t="shared" si="8"/>
        <v>84.63471673</v>
      </c>
      <c r="AD73" s="7"/>
    </row>
    <row r="74">
      <c r="A74" s="5">
        <v>3.13581005E8</v>
      </c>
      <c r="B74" s="6" t="s">
        <v>29</v>
      </c>
      <c r="C74" s="7">
        <v>1121693.0</v>
      </c>
      <c r="D74" s="7">
        <v>13.3002</v>
      </c>
      <c r="E74" s="7">
        <f>IFERROR(__xludf.DUMMYFUNCTION("IF(B74=""PASS"", RANK.EQ(C74, FILTER($C$2:$C$142, $B$2:$B$142=""PASS""), 1) + COUNTIFS($C$2:$C$142, C74, $D$2:$D$142, ""&lt;""&amp;D74, $B$2:$B$142, ""PASS""), """")"),106.0)</f>
        <v>106</v>
      </c>
      <c r="F74" s="8">
        <f t="shared" si="1"/>
        <v>15.93023256</v>
      </c>
      <c r="G74" s="6" t="s">
        <v>29</v>
      </c>
      <c r="H74" s="7">
        <v>6821172.0</v>
      </c>
      <c r="I74" s="7">
        <v>180.0802</v>
      </c>
      <c r="J74" s="7">
        <f>IFERROR(__xludf.DUMMYFUNCTION("IF(G74=""PASS"", RANK.EQ(H74, FILTER($H$2:$H$142, $G$2:$G$142=""PASS""), 1) + COUNTIFS($H$2:$H$142, H74, $I$2:$I$142, ""&lt;""&amp;I74, $G$2:$G$142, ""PASS""), """")"),105.0)</f>
        <v>105</v>
      </c>
      <c r="K74" s="8">
        <f t="shared" si="2"/>
        <v>15.9375</v>
      </c>
      <c r="L74" s="6" t="s">
        <v>29</v>
      </c>
      <c r="M74" s="7">
        <v>2.9107257E7</v>
      </c>
      <c r="N74" s="7">
        <v>180.1625</v>
      </c>
      <c r="O74" s="7">
        <f>IFERROR(__xludf.DUMMYFUNCTION("IF(L74=""PASS"", RANK.EQ(M74, FILTER($M$2:$M$142, $L$2:$L$142=""PASS""), 1) + COUNTIFS($M$2:$M$142, M74, $N$2:$N$142, ""&lt;""&amp;N74, $L$2:$L$142, ""PASS""), """")"),95.0)</f>
        <v>95</v>
      </c>
      <c r="P74" s="8">
        <f t="shared" si="3"/>
        <v>16.14754098</v>
      </c>
      <c r="Q74" s="6" t="s">
        <v>29</v>
      </c>
      <c r="R74" s="7">
        <v>3.0055018E7</v>
      </c>
      <c r="S74" s="7">
        <v>180.1531</v>
      </c>
      <c r="T74" s="7">
        <f>IFERROR(__xludf.DUMMYFUNCTION("IF(Q74=""PASS"", RANK.EQ(R74, FILTER($R$2:$R$142, $Q$2:$Q$142=""PASS""), 1) + COUNTIFS($R$2:$R$142, R74, $S$2:$S$142, ""&lt;""&amp;S74, $Q$2:$Q$142, ""PASS""), """")"),95.0)</f>
        <v>95</v>
      </c>
      <c r="U74" s="8">
        <f t="shared" si="4"/>
        <v>16.08333333</v>
      </c>
      <c r="V74" s="12" t="s">
        <v>31</v>
      </c>
      <c r="W74" s="13">
        <v>1.29673915E8</v>
      </c>
      <c r="X74" s="13">
        <v>180.2167</v>
      </c>
      <c r="Y74" s="13" t="str">
        <f>IFERROR(__xludf.DUMMYFUNCTION("IF(V74=""PASS"", RANK.EQ(W74, FILTER($W$2:$W$142, $V$2:$V$142=""PASS""), 1) + COUNTIFS($W$2:$W$142, W74, $X$2:$X$142, ""&lt;""&amp;X74, $V$2:$V$142, ""PASS""), """")"),"")</f>
        <v/>
      </c>
      <c r="Z74" s="14">
        <f t="shared" si="5"/>
        <v>15</v>
      </c>
      <c r="AA74" s="10">
        <f t="shared" si="6"/>
        <v>79.09860688</v>
      </c>
      <c r="AB74" s="11" t="b">
        <v>0</v>
      </c>
      <c r="AC74" s="8">
        <f t="shared" si="8"/>
        <v>79.09860688</v>
      </c>
      <c r="AD74" s="7"/>
    </row>
    <row r="75">
      <c r="A75" s="5">
        <v>3.13591004E8</v>
      </c>
      <c r="B75" s="6" t="s">
        <v>29</v>
      </c>
      <c r="C75" s="7">
        <v>743310.0</v>
      </c>
      <c r="D75" s="7">
        <v>0.3198</v>
      </c>
      <c r="E75" s="7">
        <f>IFERROR(__xludf.DUMMYFUNCTION("IF(B75=""PASS"", RANK.EQ(C75, FILTER($C$2:$C$142, $B$2:$B$142=""PASS""), 1) + COUNTIFS($C$2:$C$142, C75, $D$2:$D$142, ""&lt;""&amp;D75, $B$2:$B$142, ""PASS""), """")"),51.0)</f>
        <v>51</v>
      </c>
      <c r="F75" s="8">
        <f t="shared" si="1"/>
        <v>18.0620155</v>
      </c>
      <c r="G75" s="6" t="s">
        <v>29</v>
      </c>
      <c r="H75" s="7">
        <v>3291602.0</v>
      </c>
      <c r="I75" s="7">
        <v>6.7872</v>
      </c>
      <c r="J75" s="7">
        <f>IFERROR(__xludf.DUMMYFUNCTION("IF(G75=""PASS"", RANK.EQ(H75, FILTER($H$2:$H$142, $G$2:$G$142=""PASS""), 1) + COUNTIFS($H$2:$H$142, H75, $I$2:$I$142, ""&lt;""&amp;I75, $G$2:$G$142, ""PASS""), """")"),48.0)</f>
        <v>48</v>
      </c>
      <c r="K75" s="8">
        <f t="shared" si="2"/>
        <v>18.1640625</v>
      </c>
      <c r="L75" s="6" t="s">
        <v>29</v>
      </c>
      <c r="M75" s="7">
        <v>1.8580237E7</v>
      </c>
      <c r="N75" s="7">
        <v>7.5737</v>
      </c>
      <c r="O75" s="7">
        <f>IFERROR(__xludf.DUMMYFUNCTION("IF(L75=""PASS"", RANK.EQ(M75, FILTER($M$2:$M$142, $L$2:$L$142=""PASS""), 1) + COUNTIFS($M$2:$M$142, M75, $N$2:$N$142, ""&lt;""&amp;N75, $L$2:$L$142, ""PASS""), """")"),62.0)</f>
        <v>62</v>
      </c>
      <c r="P75" s="8">
        <f t="shared" si="3"/>
        <v>17.5</v>
      </c>
      <c r="Q75" s="6" t="s">
        <v>29</v>
      </c>
      <c r="R75" s="7">
        <v>1.8874936E7</v>
      </c>
      <c r="S75" s="7">
        <v>7.4853</v>
      </c>
      <c r="T75" s="7">
        <f>IFERROR(__xludf.DUMMYFUNCTION("IF(Q75=""PASS"", RANK.EQ(R75, FILTER($R$2:$R$142, $Q$2:$Q$142=""PASS""), 1) + COUNTIFS($R$2:$R$142, R75, $S$2:$S$142, ""&lt;""&amp;S75, $Q$2:$Q$142, ""PASS""), """")"),62.0)</f>
        <v>62</v>
      </c>
      <c r="U75" s="8">
        <f t="shared" si="4"/>
        <v>17.45833333</v>
      </c>
      <c r="V75" s="6" t="s">
        <v>29</v>
      </c>
      <c r="W75" s="7">
        <v>1.32917739E8</v>
      </c>
      <c r="X75" s="7">
        <v>6.4296</v>
      </c>
      <c r="Y75" s="7">
        <f>IFERROR(__xludf.DUMMYFUNCTION("IF(V75=""PASS"", RANK.EQ(W75, FILTER($W$2:$W$142, $V$2:$V$142=""PASS""), 1) + COUNTIFS($W$2:$W$142, W75, $X$2:$X$142, ""&lt;""&amp;X75, $V$2:$V$142, ""PASS""), """")"),69.0)</f>
        <v>69</v>
      </c>
      <c r="Z75" s="8">
        <f t="shared" si="5"/>
        <v>15.90361446</v>
      </c>
      <c r="AA75" s="10">
        <f t="shared" si="6"/>
        <v>87.0880258</v>
      </c>
      <c r="AB75" s="11" t="b">
        <v>0</v>
      </c>
      <c r="AC75" s="8">
        <f t="shared" si="8"/>
        <v>87.0880258</v>
      </c>
      <c r="AD75" s="7"/>
    </row>
    <row r="76">
      <c r="A76" s="5">
        <v>3.1359101E8</v>
      </c>
      <c r="B76" s="6" t="s">
        <v>29</v>
      </c>
      <c r="C76" s="7">
        <v>937695.0</v>
      </c>
      <c r="D76" s="7">
        <v>0.5381</v>
      </c>
      <c r="E76" s="7">
        <f>IFERROR(__xludf.DUMMYFUNCTION("IF(B76=""PASS"", RANK.EQ(C76, FILTER($C$2:$C$142, $B$2:$B$142=""PASS""), 1) + COUNTIFS($C$2:$C$142, C76, $D$2:$D$142, ""&lt;""&amp;D76, $B$2:$B$142, ""PASS""), """")"),81.0)</f>
        <v>81</v>
      </c>
      <c r="F76" s="8">
        <f t="shared" si="1"/>
        <v>16.89922481</v>
      </c>
      <c r="G76" s="6" t="s">
        <v>29</v>
      </c>
      <c r="H76" s="7">
        <v>4424779.0</v>
      </c>
      <c r="I76" s="7">
        <v>3.2023</v>
      </c>
      <c r="J76" s="7">
        <f>IFERROR(__xludf.DUMMYFUNCTION("IF(G76=""PASS"", RANK.EQ(H76, FILTER($H$2:$H$142, $G$2:$G$142=""PASS""), 1) + COUNTIFS($H$2:$H$142, H76, $I$2:$I$142, ""&lt;""&amp;I76, $G$2:$G$142, ""PASS""), """")"),75.0)</f>
        <v>75</v>
      </c>
      <c r="K76" s="8">
        <f t="shared" si="2"/>
        <v>17.109375</v>
      </c>
      <c r="L76" s="6" t="s">
        <v>29</v>
      </c>
      <c r="M76" s="7">
        <v>1.9188922E7</v>
      </c>
      <c r="N76" s="7">
        <v>14.5128</v>
      </c>
      <c r="O76" s="7">
        <f>IFERROR(__xludf.DUMMYFUNCTION("IF(L76=""PASS"", RANK.EQ(M76, FILTER($M$2:$M$142, $L$2:$L$142=""PASS""), 1) + COUNTIFS($M$2:$M$142, M76, $N$2:$N$142, ""&lt;""&amp;N76, $L$2:$L$142, ""PASS""), """")"),64.0)</f>
        <v>64</v>
      </c>
      <c r="P76" s="8">
        <f t="shared" si="3"/>
        <v>17.41803279</v>
      </c>
      <c r="Q76" s="6" t="s">
        <v>29</v>
      </c>
      <c r="R76" s="7">
        <v>1.9440991E7</v>
      </c>
      <c r="S76" s="7">
        <v>15.1636</v>
      </c>
      <c r="T76" s="7">
        <f>IFERROR(__xludf.DUMMYFUNCTION("IF(Q76=""PASS"", RANK.EQ(R76, FILTER($R$2:$R$142, $Q$2:$Q$142=""PASS""), 1) + COUNTIFS($R$2:$R$142, R76, $S$2:$S$142, ""&lt;""&amp;S76, $Q$2:$Q$142, ""PASS""), """")"),67.0)</f>
        <v>67</v>
      </c>
      <c r="U76" s="8">
        <f t="shared" si="4"/>
        <v>17.25</v>
      </c>
      <c r="V76" s="6" t="s">
        <v>29</v>
      </c>
      <c r="W76" s="7">
        <v>1.28625339E8</v>
      </c>
      <c r="X76" s="7">
        <v>41.0614</v>
      </c>
      <c r="Y76" s="7">
        <f>IFERROR(__xludf.DUMMYFUNCTION("IF(V76=""PASS"", RANK.EQ(W76, FILTER($W$2:$W$142, $V$2:$V$142=""PASS""), 1) + COUNTIFS($W$2:$W$142, W76, $X$2:$X$142, ""&lt;""&amp;X76, $V$2:$V$142, ""PASS""), """")"),31.0)</f>
        <v>31</v>
      </c>
      <c r="Z76" s="8">
        <f t="shared" si="5"/>
        <v>18.19277108</v>
      </c>
      <c r="AA76" s="10">
        <f t="shared" si="6"/>
        <v>86.86940368</v>
      </c>
      <c r="AB76" s="11" t="b">
        <v>0</v>
      </c>
      <c r="AC76" s="8">
        <f t="shared" si="8"/>
        <v>86.86940368</v>
      </c>
      <c r="AD76" s="7"/>
    </row>
    <row r="77">
      <c r="A77" s="5">
        <v>3.13591021E8</v>
      </c>
      <c r="B77" s="6" t="s">
        <v>29</v>
      </c>
      <c r="C77" s="7">
        <v>1027630.0</v>
      </c>
      <c r="D77" s="7">
        <v>0.142</v>
      </c>
      <c r="E77" s="7">
        <f>IFERROR(__xludf.DUMMYFUNCTION("IF(B77=""PASS"", RANK.EQ(C77, FILTER($C$2:$C$142, $B$2:$B$142=""PASS""), 1) + COUNTIFS($C$2:$C$142, C77, $D$2:$D$142, ""&lt;""&amp;D77, $B$2:$B$142, ""PASS""), """")"),89.0)</f>
        <v>89</v>
      </c>
      <c r="F77" s="8">
        <f t="shared" si="1"/>
        <v>16.58914729</v>
      </c>
      <c r="G77" s="6" t="s">
        <v>29</v>
      </c>
      <c r="H77" s="7">
        <v>5239218.0</v>
      </c>
      <c r="I77" s="7">
        <v>0.8657</v>
      </c>
      <c r="J77" s="7">
        <f>IFERROR(__xludf.DUMMYFUNCTION("IF(G77=""PASS"", RANK.EQ(H77, FILTER($H$2:$H$142, $G$2:$G$142=""PASS""), 1) + COUNTIFS($H$2:$H$142, H77, $I$2:$I$142, ""&lt;""&amp;I77, $G$2:$G$142, ""PASS""), """")"),85.0)</f>
        <v>85</v>
      </c>
      <c r="K77" s="8">
        <f t="shared" si="2"/>
        <v>16.71875</v>
      </c>
      <c r="L77" s="6" t="s">
        <v>29</v>
      </c>
      <c r="M77" s="7">
        <v>2.2405903E7</v>
      </c>
      <c r="N77" s="7">
        <v>4.1575</v>
      </c>
      <c r="O77" s="7">
        <f>IFERROR(__xludf.DUMMYFUNCTION("IF(L77=""PASS"", RANK.EQ(M77, FILTER($M$2:$M$142, $L$2:$L$142=""PASS""), 1) + COUNTIFS($M$2:$M$142, M77, $N$2:$N$142, ""&lt;""&amp;N77, $L$2:$L$142, ""PASS""), """")"),78.0)</f>
        <v>78</v>
      </c>
      <c r="P77" s="8">
        <f t="shared" si="3"/>
        <v>16.8442623</v>
      </c>
      <c r="Q77" s="6" t="s">
        <v>29</v>
      </c>
      <c r="R77" s="7">
        <v>2.3051659E7</v>
      </c>
      <c r="S77" s="7">
        <v>4.2985</v>
      </c>
      <c r="T77" s="7">
        <f>IFERROR(__xludf.DUMMYFUNCTION("IF(Q77=""PASS"", RANK.EQ(R77, FILTER($R$2:$R$142, $Q$2:$Q$142=""PASS""), 1) + COUNTIFS($R$2:$R$142, R77, $S$2:$S$142, ""&lt;""&amp;S77, $Q$2:$Q$142, ""PASS""), """")"),78.0)</f>
        <v>78</v>
      </c>
      <c r="U77" s="8">
        <f t="shared" si="4"/>
        <v>16.79166667</v>
      </c>
      <c r="V77" s="6" t="s">
        <v>29</v>
      </c>
      <c r="W77" s="7">
        <v>1.28625339E8</v>
      </c>
      <c r="X77" s="7">
        <v>12.2039</v>
      </c>
      <c r="Y77" s="7">
        <f>IFERROR(__xludf.DUMMYFUNCTION("IF(V77=""PASS"", RANK.EQ(W77, FILTER($W$2:$W$142, $V$2:$V$142=""PASS""), 1) + COUNTIFS($W$2:$W$142, W77, $X$2:$X$142, ""&lt;""&amp;X77, $V$2:$V$142, ""PASS""), """")"),7.0)</f>
        <v>7</v>
      </c>
      <c r="Z77" s="8">
        <f t="shared" si="5"/>
        <v>19.63855422</v>
      </c>
      <c r="AA77" s="10">
        <f t="shared" si="6"/>
        <v>86.58238047</v>
      </c>
      <c r="AB77" s="11" t="b">
        <v>0</v>
      </c>
      <c r="AC77" s="8">
        <f t="shared" si="8"/>
        <v>86.58238047</v>
      </c>
      <c r="AD77" s="7"/>
    </row>
    <row r="78">
      <c r="A78" s="5">
        <v>3.13591038E8</v>
      </c>
      <c r="B78" s="6" t="s">
        <v>29</v>
      </c>
      <c r="C78" s="7">
        <v>1684438.0</v>
      </c>
      <c r="D78" s="7">
        <v>179.1648</v>
      </c>
      <c r="E78" s="7">
        <f>IFERROR(__xludf.DUMMYFUNCTION("IF(B78=""PASS"", RANK.EQ(C78, FILTER($C$2:$C$142, $B$2:$B$142=""PASS""), 1) + COUNTIFS($C$2:$C$142, C78, $D$2:$D$142, ""&lt;""&amp;D78, $B$2:$B$142, ""PASS""), """")"),125.0)</f>
        <v>125</v>
      </c>
      <c r="F78" s="8">
        <f t="shared" si="1"/>
        <v>15.19379845</v>
      </c>
      <c r="G78" s="6" t="s">
        <v>29</v>
      </c>
      <c r="H78" s="7">
        <v>8789994.0</v>
      </c>
      <c r="I78" s="7">
        <v>179.5854</v>
      </c>
      <c r="J78" s="7">
        <f>IFERROR(__xludf.DUMMYFUNCTION("IF(G78=""PASS"", RANK.EQ(H78, FILTER($H$2:$H$142, $G$2:$G$142=""PASS""), 1) + COUNTIFS($H$2:$H$142, H78, $I$2:$I$142, ""&lt;""&amp;I78, $G$2:$G$142, ""PASS""), """")"),124.0)</f>
        <v>124</v>
      </c>
      <c r="K78" s="8">
        <f t="shared" si="2"/>
        <v>15.1953125</v>
      </c>
      <c r="L78" s="6" t="s">
        <v>29</v>
      </c>
      <c r="M78" s="7">
        <v>3.7449785E7</v>
      </c>
      <c r="N78" s="7">
        <v>180.1019</v>
      </c>
      <c r="O78" s="7">
        <f>IFERROR(__xludf.DUMMYFUNCTION("IF(L78=""PASS"", RANK.EQ(M78, FILTER($M$2:$M$142, $L$2:$L$142=""PASS""), 1) + COUNTIFS($M$2:$M$142, M78, $N$2:$N$142, ""&lt;""&amp;N78, $L$2:$L$142, ""PASS""), """")"),117.0)</f>
        <v>117</v>
      </c>
      <c r="P78" s="8">
        <f t="shared" si="3"/>
        <v>15.24590164</v>
      </c>
      <c r="Q78" s="6" t="s">
        <v>29</v>
      </c>
      <c r="R78" s="7">
        <v>3.8672631E7</v>
      </c>
      <c r="S78" s="7">
        <v>180.1208</v>
      </c>
      <c r="T78" s="7">
        <f>IFERROR(__xludf.DUMMYFUNCTION("IF(Q78=""PASS"", RANK.EQ(R78, FILTER($R$2:$R$142, $Q$2:$Q$142=""PASS""), 1) + COUNTIFS($R$2:$R$142, R78, $S$2:$S$142, ""&lt;""&amp;S78, $Q$2:$Q$142, ""PASS""), """")"),116.0)</f>
        <v>116</v>
      </c>
      <c r="U78" s="8">
        <f t="shared" si="4"/>
        <v>15.20833333</v>
      </c>
      <c r="V78" s="12" t="s">
        <v>31</v>
      </c>
      <c r="W78" s="13">
        <v>1.34217726E8</v>
      </c>
      <c r="X78" s="13">
        <v>173.0569</v>
      </c>
      <c r="Y78" s="13" t="str">
        <f>IFERROR(__xludf.DUMMYFUNCTION("IF(V78=""PASS"", RANK.EQ(W78, FILTER($W$2:$W$142, $V$2:$V$142=""PASS""), 1) + COUNTIFS($W$2:$W$142, W78, $X$2:$X$142, ""&lt;""&amp;X78, $V$2:$V$142, ""PASS""), """")"),"")</f>
        <v/>
      </c>
      <c r="Z78" s="14">
        <f t="shared" si="5"/>
        <v>15</v>
      </c>
      <c r="AA78" s="10">
        <f t="shared" si="6"/>
        <v>75.84334592</v>
      </c>
      <c r="AB78" s="11" t="b">
        <v>0</v>
      </c>
      <c r="AC78" s="8">
        <f t="shared" si="8"/>
        <v>75.84334592</v>
      </c>
      <c r="AD78" s="7"/>
    </row>
    <row r="79">
      <c r="A79" s="5">
        <v>3.1383102E8</v>
      </c>
      <c r="B79" s="6" t="s">
        <v>29</v>
      </c>
      <c r="C79" s="7">
        <v>786680.0</v>
      </c>
      <c r="D79" s="7">
        <v>0.3346</v>
      </c>
      <c r="E79" s="7">
        <f>IFERROR(__xludf.DUMMYFUNCTION("IF(B79=""PASS"", RANK.EQ(C79, FILTER($C$2:$C$142, $B$2:$B$142=""PASS""), 1) + COUNTIFS($C$2:$C$142, C79, $D$2:$D$142, ""&lt;""&amp;D79, $B$2:$B$142, ""PASS""), """")"),63.0)</f>
        <v>63</v>
      </c>
      <c r="F79" s="8">
        <f t="shared" si="1"/>
        <v>17.59689922</v>
      </c>
      <c r="G79" s="6" t="s">
        <v>29</v>
      </c>
      <c r="H79" s="7">
        <v>3543541.0</v>
      </c>
      <c r="I79" s="7">
        <v>1.9068</v>
      </c>
      <c r="J79" s="7">
        <f>IFERROR(__xludf.DUMMYFUNCTION("IF(G79=""PASS"", RANK.EQ(H79, FILTER($H$2:$H$142, $G$2:$G$142=""PASS""), 1) + COUNTIFS($H$2:$H$142, H79, $I$2:$I$142, ""&lt;""&amp;I79, $G$2:$G$142, ""PASS""), """")"),54.0)</f>
        <v>54</v>
      </c>
      <c r="K79" s="8">
        <f t="shared" si="2"/>
        <v>17.9296875</v>
      </c>
      <c r="L79" s="6" t="s">
        <v>29</v>
      </c>
      <c r="M79" s="7">
        <v>1.5246611E7</v>
      </c>
      <c r="N79" s="7">
        <v>8.2221</v>
      </c>
      <c r="O79" s="7">
        <f>IFERROR(__xludf.DUMMYFUNCTION("IF(L79=""PASS"", RANK.EQ(M79, FILTER($M$2:$M$142, $L$2:$L$142=""PASS""), 1) + COUNTIFS($M$2:$M$142, M79, $N$2:$N$142, ""&lt;""&amp;N79, $L$2:$L$142, ""PASS""), """")"),45.0)</f>
        <v>45</v>
      </c>
      <c r="P79" s="8">
        <f t="shared" si="3"/>
        <v>18.19672131</v>
      </c>
      <c r="Q79" s="6" t="s">
        <v>29</v>
      </c>
      <c r="R79" s="7">
        <v>1.5346372E7</v>
      </c>
      <c r="S79" s="7">
        <v>8.6272</v>
      </c>
      <c r="T79" s="7">
        <f>IFERROR(__xludf.DUMMYFUNCTION("IF(Q79=""PASS"", RANK.EQ(R79, FILTER($R$2:$R$142, $Q$2:$Q$142=""PASS""), 1) + COUNTIFS($R$2:$R$142, R79, $S$2:$S$142, ""&lt;""&amp;S79, $Q$2:$Q$142, ""PASS""), """")"),51.0)</f>
        <v>51</v>
      </c>
      <c r="U79" s="8">
        <f t="shared" si="4"/>
        <v>17.91666667</v>
      </c>
      <c r="V79" s="6" t="s">
        <v>29</v>
      </c>
      <c r="W79" s="7">
        <v>1.28625339E8</v>
      </c>
      <c r="X79" s="7">
        <v>29.9969</v>
      </c>
      <c r="Y79" s="7">
        <f>IFERROR(__xludf.DUMMYFUNCTION("IF(V79=""PASS"", RANK.EQ(W79, FILTER($W$2:$W$142, $V$2:$V$142=""PASS""), 1) + COUNTIFS($W$2:$W$142, W79, $X$2:$X$142, ""&lt;""&amp;X79, $V$2:$V$142, ""PASS""), """")"),23.0)</f>
        <v>23</v>
      </c>
      <c r="Z79" s="8">
        <f t="shared" si="5"/>
        <v>18.6746988</v>
      </c>
      <c r="AA79" s="10">
        <f t="shared" si="6"/>
        <v>90.3146735</v>
      </c>
      <c r="AB79" s="11" t="b">
        <v>0</v>
      </c>
      <c r="AC79" s="8">
        <f t="shared" si="8"/>
        <v>90.3146735</v>
      </c>
      <c r="AD79" s="7"/>
    </row>
    <row r="80">
      <c r="A80" s="5">
        <v>3.1383201E8</v>
      </c>
      <c r="B80" s="6" t="s">
        <v>29</v>
      </c>
      <c r="C80" s="7">
        <v>1048819.0</v>
      </c>
      <c r="D80" s="7">
        <v>9.0441</v>
      </c>
      <c r="E80" s="7">
        <f>IFERROR(__xludf.DUMMYFUNCTION("IF(B80=""PASS"", RANK.EQ(C80, FILTER($C$2:$C$142, $B$2:$B$142=""PASS""), 1) + COUNTIFS($C$2:$C$142, C80, $D$2:$D$142, ""&lt;""&amp;D80, $B$2:$B$142, ""PASS""), """")"),99.0)</f>
        <v>99</v>
      </c>
      <c r="F80" s="8">
        <f t="shared" si="1"/>
        <v>16.20155039</v>
      </c>
      <c r="G80" s="6" t="s">
        <v>29</v>
      </c>
      <c r="H80" s="7">
        <v>8066787.0</v>
      </c>
      <c r="I80" s="7">
        <v>30.9978</v>
      </c>
      <c r="J80" s="7">
        <f>IFERROR(__xludf.DUMMYFUNCTION("IF(G80=""PASS"", RANK.EQ(H80, FILTER($H$2:$H$142, $G$2:$G$142=""PASS""), 1) + COUNTIFS($H$2:$H$142, H80, $I$2:$I$142, ""&lt;""&amp;I80, $G$2:$G$142, ""PASS""), """")"),110.0)</f>
        <v>110</v>
      </c>
      <c r="K80" s="8">
        <f t="shared" si="2"/>
        <v>15.7421875</v>
      </c>
      <c r="L80" s="6" t="s">
        <v>29</v>
      </c>
      <c r="M80" s="7">
        <v>3.7100045E7</v>
      </c>
      <c r="N80" s="7">
        <v>53.635</v>
      </c>
      <c r="O80" s="7">
        <f>IFERROR(__xludf.DUMMYFUNCTION("IF(L80=""PASS"", RANK.EQ(M80, FILTER($M$2:$M$142, $L$2:$L$142=""PASS""), 1) + COUNTIFS($M$2:$M$142, M80, $N$2:$N$142, ""&lt;""&amp;N80, $L$2:$L$142, ""PASS""), """")"),105.0)</f>
        <v>105</v>
      </c>
      <c r="P80" s="8">
        <f t="shared" si="3"/>
        <v>15.73770492</v>
      </c>
      <c r="Q80" s="6" t="s">
        <v>29</v>
      </c>
      <c r="R80" s="7">
        <v>3.8293315E7</v>
      </c>
      <c r="S80" s="7">
        <v>56.2293</v>
      </c>
      <c r="T80" s="7">
        <f>IFERROR(__xludf.DUMMYFUNCTION("IF(Q80=""PASS"", RANK.EQ(R80, FILTER($R$2:$R$142, $Q$2:$Q$142=""PASS""), 1) + COUNTIFS($R$2:$R$142, R80, $S$2:$S$142, ""&lt;""&amp;S80, $Q$2:$Q$142, ""PASS""), """")"),103.0)</f>
        <v>103</v>
      </c>
      <c r="U80" s="8">
        <f t="shared" si="4"/>
        <v>15.75</v>
      </c>
      <c r="V80" s="6" t="s">
        <v>30</v>
      </c>
      <c r="W80" s="9"/>
      <c r="X80" s="7">
        <v>65.1986</v>
      </c>
      <c r="Y80" s="7" t="str">
        <f>IFERROR(__xludf.DUMMYFUNCTION("IF(V80=""PASS"", RANK.EQ(W80, FILTER($W$2:$W$142, $V$2:$V$142=""PASS""), 1) + COUNTIFS($W$2:$W$142, W80, $X$2:$X$142, ""&lt;""&amp;X80, $V$2:$V$142, ""PASS""), """")"),"")</f>
        <v/>
      </c>
      <c r="Z80" s="8">
        <f t="shared" si="5"/>
        <v>0</v>
      </c>
      <c r="AA80" s="10">
        <f t="shared" si="6"/>
        <v>63.43144281</v>
      </c>
      <c r="AB80" s="11" t="b">
        <v>0</v>
      </c>
      <c r="AC80" s="8">
        <f t="shared" si="8"/>
        <v>63.43144281</v>
      </c>
      <c r="AD80" s="7"/>
    </row>
    <row r="81">
      <c r="A81" s="5">
        <v>3.14505008E8</v>
      </c>
      <c r="B81" s="6" t="s">
        <v>29</v>
      </c>
      <c r="C81" s="7">
        <v>674886.0</v>
      </c>
      <c r="D81" s="7">
        <v>110.2474</v>
      </c>
      <c r="E81" s="7">
        <f>IFERROR(__xludf.DUMMYFUNCTION("IF(B81=""PASS"", RANK.EQ(C81, FILTER($C$2:$C$142, $B$2:$B$142=""PASS""), 1) + COUNTIFS($C$2:$C$142, C81, $D$2:$D$142, ""&lt;""&amp;D81, $B$2:$B$142, ""PASS""), """")"),25.0)</f>
        <v>25</v>
      </c>
      <c r="F81" s="8">
        <f t="shared" si="1"/>
        <v>19.06976744</v>
      </c>
      <c r="G81" s="6" t="s">
        <v>29</v>
      </c>
      <c r="H81" s="7">
        <v>2964244.0</v>
      </c>
      <c r="I81" s="7">
        <v>99.7965</v>
      </c>
      <c r="J81" s="7">
        <f>IFERROR(__xludf.DUMMYFUNCTION("IF(G81=""PASS"", RANK.EQ(H81, FILTER($H$2:$H$142, $G$2:$G$142=""PASS""), 1) + COUNTIFS($H$2:$H$142, H81, $I$2:$I$142, ""&lt;""&amp;I81, $G$2:$G$142, ""PASS""), """")"),27.0)</f>
        <v>27</v>
      </c>
      <c r="K81" s="8">
        <f t="shared" si="2"/>
        <v>18.984375</v>
      </c>
      <c r="L81" s="6" t="s">
        <v>29</v>
      </c>
      <c r="M81" s="7">
        <v>1.2906385E7</v>
      </c>
      <c r="N81" s="7">
        <v>180.0163</v>
      </c>
      <c r="O81" s="7">
        <f>IFERROR(__xludf.DUMMYFUNCTION("IF(L81=""PASS"", RANK.EQ(M81, FILTER($M$2:$M$142, $L$2:$L$142=""PASS""), 1) + COUNTIFS($M$2:$M$142, M81, $N$2:$N$142, ""&lt;""&amp;N81, $L$2:$L$142, ""PASS""), """")"),22.0)</f>
        <v>22</v>
      </c>
      <c r="P81" s="8">
        <f t="shared" si="3"/>
        <v>19.13934426</v>
      </c>
      <c r="Q81" s="6" t="s">
        <v>29</v>
      </c>
      <c r="R81" s="7">
        <v>1.2877914E7</v>
      </c>
      <c r="S81" s="7">
        <v>180.0169</v>
      </c>
      <c r="T81" s="7">
        <f>IFERROR(__xludf.DUMMYFUNCTION("IF(Q81=""PASS"", RANK.EQ(R81, FILTER($R$2:$R$142, $Q$2:$Q$142=""PASS""), 1) + COUNTIFS($R$2:$R$142, R81, $S$2:$S$142, ""&lt;""&amp;S81, $Q$2:$Q$142, ""PASS""), """")"),21.0)</f>
        <v>21</v>
      </c>
      <c r="U81" s="8">
        <f t="shared" si="4"/>
        <v>19.16666667</v>
      </c>
      <c r="V81" s="6" t="s">
        <v>29</v>
      </c>
      <c r="W81" s="7">
        <v>1.28625339E8</v>
      </c>
      <c r="X81" s="7">
        <v>72.6149</v>
      </c>
      <c r="Y81" s="7">
        <f>IFERROR(__xludf.DUMMYFUNCTION("IF(V81=""PASS"", RANK.EQ(W81, FILTER($W$2:$W$142, $V$2:$V$142=""PASS""), 1) + COUNTIFS($W$2:$W$142, W81, $X$2:$X$142, ""&lt;""&amp;X81, $V$2:$V$142, ""PASS""), """")"),39.0)</f>
        <v>39</v>
      </c>
      <c r="Z81" s="8">
        <f t="shared" si="5"/>
        <v>17.71084337</v>
      </c>
      <c r="AA81" s="10">
        <f t="shared" si="6"/>
        <v>94.07099674</v>
      </c>
      <c r="AB81" s="11" t="b">
        <v>0</v>
      </c>
      <c r="AC81" s="8">
        <f t="shared" si="8"/>
        <v>94.07099674</v>
      </c>
      <c r="AD81" s="7"/>
    </row>
    <row r="82">
      <c r="A82" s="5">
        <v>3.14505011E8</v>
      </c>
      <c r="B82" s="6" t="s">
        <v>29</v>
      </c>
      <c r="C82" s="7">
        <v>666980.0</v>
      </c>
      <c r="D82" s="7">
        <v>2.6296</v>
      </c>
      <c r="E82" s="7">
        <f>IFERROR(__xludf.DUMMYFUNCTION("IF(B82=""PASS"", RANK.EQ(C82, FILTER($C$2:$C$142, $B$2:$B$142=""PASS""), 1) + COUNTIFS($C$2:$C$142, C82, $D$2:$D$142, ""&lt;""&amp;D82, $B$2:$B$142, ""PASS""), """")"),21.0)</f>
        <v>21</v>
      </c>
      <c r="F82" s="8">
        <f t="shared" si="1"/>
        <v>19.2248062</v>
      </c>
      <c r="G82" s="6" t="s">
        <v>29</v>
      </c>
      <c r="H82" s="7">
        <v>2895633.0</v>
      </c>
      <c r="I82" s="7">
        <v>13.7907</v>
      </c>
      <c r="J82" s="7">
        <f>IFERROR(__xludf.DUMMYFUNCTION("IF(G82=""PASS"", RANK.EQ(H82, FILTER($H$2:$H$142, $G$2:$G$142=""PASS""), 1) + COUNTIFS($H$2:$H$142, H82, $I$2:$I$142, ""&lt;""&amp;I82, $G$2:$G$142, ""PASS""), """")"),22.0)</f>
        <v>22</v>
      </c>
      <c r="K82" s="8">
        <f t="shared" si="2"/>
        <v>19.1796875</v>
      </c>
      <c r="L82" s="6" t="s">
        <v>29</v>
      </c>
      <c r="M82" s="7">
        <v>1.2414079E7</v>
      </c>
      <c r="N82" s="7">
        <v>57.8736</v>
      </c>
      <c r="O82" s="7">
        <f>IFERROR(__xludf.DUMMYFUNCTION("IF(L82=""PASS"", RANK.EQ(M82, FILTER($M$2:$M$142, $L$2:$L$142=""PASS""), 1) + COUNTIFS($M$2:$M$142, M82, $N$2:$N$142, ""&lt;""&amp;N82, $L$2:$L$142, ""PASS""), """")"),15.0)</f>
        <v>15</v>
      </c>
      <c r="P82" s="8">
        <f t="shared" si="3"/>
        <v>19.42622951</v>
      </c>
      <c r="Q82" s="6" t="s">
        <v>29</v>
      </c>
      <c r="R82" s="7">
        <v>1.2404323E7</v>
      </c>
      <c r="S82" s="7">
        <v>59.7846</v>
      </c>
      <c r="T82" s="7">
        <f>IFERROR(__xludf.DUMMYFUNCTION("IF(Q82=""PASS"", RANK.EQ(R82, FILTER($R$2:$R$142, $Q$2:$Q$142=""PASS""), 1) + COUNTIFS($R$2:$R$142, R82, $S$2:$S$142, ""&lt;""&amp;S82, $Q$2:$Q$142, ""PASS""), """")"),15.0)</f>
        <v>15</v>
      </c>
      <c r="U82" s="8">
        <f t="shared" si="4"/>
        <v>19.41666667</v>
      </c>
      <c r="V82" s="12" t="s">
        <v>31</v>
      </c>
      <c r="W82" s="13">
        <v>1.28625339E8</v>
      </c>
      <c r="X82" s="13">
        <v>158.6567</v>
      </c>
      <c r="Y82" s="13" t="str">
        <f>IFERROR(__xludf.DUMMYFUNCTION("IF(V82=""PASS"", RANK.EQ(W82, FILTER($W$2:$W$142, $V$2:$V$142=""PASS""), 1) + COUNTIFS($W$2:$W$142, W82, $X$2:$X$142, ""&lt;""&amp;X82, $V$2:$V$142, ""PASS""), """")"),"")</f>
        <v/>
      </c>
      <c r="Z82" s="14">
        <f t="shared" si="5"/>
        <v>15</v>
      </c>
      <c r="AA82" s="10">
        <f t="shared" si="6"/>
        <v>92.24738988</v>
      </c>
      <c r="AB82" s="11" t="b">
        <v>0</v>
      </c>
      <c r="AC82" s="8">
        <f t="shared" si="8"/>
        <v>92.24738988</v>
      </c>
      <c r="AD82" s="7"/>
    </row>
    <row r="83">
      <c r="A83" s="5">
        <v>3.14510119E8</v>
      </c>
      <c r="B83" s="6" t="s">
        <v>29</v>
      </c>
      <c r="C83" s="7">
        <v>687521.0</v>
      </c>
      <c r="D83" s="7">
        <v>1.6142</v>
      </c>
      <c r="E83" s="7">
        <f>IFERROR(__xludf.DUMMYFUNCTION("IF(B83=""PASS"", RANK.EQ(C83, FILTER($C$2:$C$142, $B$2:$B$142=""PASS""), 1) + COUNTIFS($C$2:$C$142, C83, $D$2:$D$142, ""&lt;""&amp;D83, $B$2:$B$142, ""PASS""), """")"),28.0)</f>
        <v>28</v>
      </c>
      <c r="F83" s="8">
        <f t="shared" si="1"/>
        <v>18.95348837</v>
      </c>
      <c r="G83" s="6" t="s">
        <v>29</v>
      </c>
      <c r="H83" s="7">
        <v>2981644.0</v>
      </c>
      <c r="I83" s="7">
        <v>5.8652</v>
      </c>
      <c r="J83" s="7">
        <f>IFERROR(__xludf.DUMMYFUNCTION("IF(G83=""PASS"", RANK.EQ(H83, FILTER($H$2:$H$142, $G$2:$G$142=""PASS""), 1) + COUNTIFS($H$2:$H$142, H83, $I$2:$I$142, ""&lt;""&amp;I83, $G$2:$G$142, ""PASS""), """")"),28.0)</f>
        <v>28</v>
      </c>
      <c r="K83" s="8">
        <f t="shared" si="2"/>
        <v>18.9453125</v>
      </c>
      <c r="L83" s="6" t="s">
        <v>29</v>
      </c>
      <c r="M83" s="7">
        <v>1.2794231E7</v>
      </c>
      <c r="N83" s="7">
        <v>23.8258</v>
      </c>
      <c r="O83" s="7">
        <f>IFERROR(__xludf.DUMMYFUNCTION("IF(L83=""PASS"", RANK.EQ(M83, FILTER($M$2:$M$142, $L$2:$L$142=""PASS""), 1) + COUNTIFS($M$2:$M$142, M83, $N$2:$N$142, ""&lt;""&amp;N83, $L$2:$L$142, ""PASS""), """")"),20.0)</f>
        <v>20</v>
      </c>
      <c r="P83" s="8">
        <f t="shared" si="3"/>
        <v>19.22131148</v>
      </c>
      <c r="Q83" s="6" t="s">
        <v>29</v>
      </c>
      <c r="R83" s="7">
        <v>1.2790377E7</v>
      </c>
      <c r="S83" s="7">
        <v>23.6716</v>
      </c>
      <c r="T83" s="7">
        <f>IFERROR(__xludf.DUMMYFUNCTION("IF(Q83=""PASS"", RANK.EQ(R83, FILTER($R$2:$R$142, $Q$2:$Q$142=""PASS""), 1) + COUNTIFS($R$2:$R$142, R83, $S$2:$S$142, ""&lt;""&amp;S83, $Q$2:$Q$142, ""PASS""), """")"),20.0)</f>
        <v>20</v>
      </c>
      <c r="U83" s="8">
        <f t="shared" si="4"/>
        <v>19.20833333</v>
      </c>
      <c r="V83" s="12" t="s">
        <v>31</v>
      </c>
      <c r="W83" s="13">
        <v>1.28625339E8</v>
      </c>
      <c r="X83" s="13">
        <v>113.6853</v>
      </c>
      <c r="Y83" s="13" t="str">
        <f>IFERROR(__xludf.DUMMYFUNCTION("IF(V83=""PASS"", RANK.EQ(W83, FILTER($W$2:$W$142, $V$2:$V$142=""PASS""), 1) + COUNTIFS($W$2:$W$142, W83, $X$2:$X$142, ""&lt;""&amp;X83, $V$2:$V$142, ""PASS""), """")"),"")</f>
        <v/>
      </c>
      <c r="Z83" s="14">
        <f t="shared" si="5"/>
        <v>15</v>
      </c>
      <c r="AA83" s="10">
        <f t="shared" si="6"/>
        <v>91.32844568</v>
      </c>
      <c r="AB83" s="11" t="b">
        <v>0</v>
      </c>
      <c r="AC83" s="8">
        <f t="shared" si="8"/>
        <v>91.32844568</v>
      </c>
      <c r="AD83" s="7"/>
    </row>
    <row r="84">
      <c r="A84" s="5">
        <v>3.1451012E8</v>
      </c>
      <c r="B84" s="6" t="s">
        <v>29</v>
      </c>
      <c r="C84" s="7">
        <v>822051.0</v>
      </c>
      <c r="D84" s="7">
        <v>6.5806</v>
      </c>
      <c r="E84" s="7">
        <f>IFERROR(__xludf.DUMMYFUNCTION("IF(B84=""PASS"", RANK.EQ(C84, FILTER($C$2:$C$142, $B$2:$B$142=""PASS""), 1) + COUNTIFS($C$2:$C$142, C84, $D$2:$D$142, ""&lt;""&amp;D84, $B$2:$B$142, ""PASS""), """")"),68.0)</f>
        <v>68</v>
      </c>
      <c r="F84" s="8">
        <f t="shared" si="1"/>
        <v>17.40310078</v>
      </c>
      <c r="G84" s="6" t="s">
        <v>29</v>
      </c>
      <c r="H84" s="7">
        <v>3737258.0</v>
      </c>
      <c r="I84" s="7">
        <v>14.5079</v>
      </c>
      <c r="J84" s="7">
        <f>IFERROR(__xludf.DUMMYFUNCTION("IF(G84=""PASS"", RANK.EQ(H84, FILTER($H$2:$H$142, $G$2:$G$142=""PASS""), 1) + COUNTIFS($H$2:$H$142, H84, $I$2:$I$142, ""&lt;""&amp;I84, $G$2:$G$142, ""PASS""), """")"),65.0)</f>
        <v>65</v>
      </c>
      <c r="K84" s="8">
        <f t="shared" si="2"/>
        <v>17.5</v>
      </c>
      <c r="L84" s="6" t="s">
        <v>29</v>
      </c>
      <c r="M84" s="7">
        <v>1.6139343E7</v>
      </c>
      <c r="N84" s="7">
        <v>51.3178</v>
      </c>
      <c r="O84" s="7">
        <f>IFERROR(__xludf.DUMMYFUNCTION("IF(L84=""PASS"", RANK.EQ(M84, FILTER($M$2:$M$142, $L$2:$L$142=""PASS""), 1) + COUNTIFS($M$2:$M$142, M84, $N$2:$N$142, ""&lt;""&amp;N84, $L$2:$L$142, ""PASS""), """")"),55.0)</f>
        <v>55</v>
      </c>
      <c r="P84" s="8">
        <f t="shared" si="3"/>
        <v>17.78688525</v>
      </c>
      <c r="Q84" s="6" t="s">
        <v>29</v>
      </c>
      <c r="R84" s="7">
        <v>1.6235927E7</v>
      </c>
      <c r="S84" s="7">
        <v>51.7851</v>
      </c>
      <c r="T84" s="7">
        <f>IFERROR(__xludf.DUMMYFUNCTION("IF(Q84=""PASS"", RANK.EQ(R84, FILTER($R$2:$R$142, $Q$2:$Q$142=""PASS""), 1) + COUNTIFS($R$2:$R$142, R84, $S$2:$S$142, ""&lt;""&amp;S84, $Q$2:$Q$142, ""PASS""), """")"),55.0)</f>
        <v>55</v>
      </c>
      <c r="U84" s="8">
        <f t="shared" si="4"/>
        <v>17.75</v>
      </c>
      <c r="V84" s="6" t="s">
        <v>29</v>
      </c>
      <c r="W84" s="7">
        <v>1.28625339E8</v>
      </c>
      <c r="X84" s="7">
        <v>173.9712</v>
      </c>
      <c r="Y84" s="7">
        <f>IFERROR(__xludf.DUMMYFUNCTION("IF(V84=""PASS"", RANK.EQ(W84, FILTER($W$2:$W$142, $V$2:$V$142=""PASS""), 1) + COUNTIFS($W$2:$W$142, W84, $X$2:$X$142, ""&lt;""&amp;X84, $V$2:$V$142, ""PASS""), """")"),57.0)</f>
        <v>57</v>
      </c>
      <c r="Z84" s="8">
        <f t="shared" si="5"/>
        <v>16.62650602</v>
      </c>
      <c r="AA84" s="10">
        <f t="shared" si="6"/>
        <v>87.06649205</v>
      </c>
      <c r="AB84" s="11" t="b">
        <v>0</v>
      </c>
      <c r="AC84" s="8">
        <f t="shared" si="8"/>
        <v>87.06649205</v>
      </c>
      <c r="AD84" s="7"/>
    </row>
    <row r="85">
      <c r="A85" s="5">
        <v>3.14510122E8</v>
      </c>
      <c r="B85" s="6" t="s">
        <v>29</v>
      </c>
      <c r="C85" s="7">
        <v>604633.0</v>
      </c>
      <c r="D85" s="7">
        <v>13.6336</v>
      </c>
      <c r="E85" s="7">
        <f>IFERROR(__xludf.DUMMYFUNCTION("IF(B85=""PASS"", RANK.EQ(C85, FILTER($C$2:$C$142, $B$2:$B$142=""PASS""), 1) + COUNTIFS($C$2:$C$142, C85, $D$2:$D$142, ""&lt;""&amp;D85, $B$2:$B$142, ""PASS""), """")"),1.0)</f>
        <v>1</v>
      </c>
      <c r="F85" s="8">
        <f t="shared" si="1"/>
        <v>20</v>
      </c>
      <c r="G85" s="6" t="s">
        <v>29</v>
      </c>
      <c r="H85" s="7">
        <v>2525142.0</v>
      </c>
      <c r="I85" s="7">
        <v>113.9548</v>
      </c>
      <c r="J85" s="7">
        <f>IFERROR(__xludf.DUMMYFUNCTION("IF(G85=""PASS"", RANK.EQ(H85, FILTER($H$2:$H$142, $G$2:$G$142=""PASS""), 1) + COUNTIFS($H$2:$H$142, H85, $I$2:$I$142, ""&lt;""&amp;I85, $G$2:$G$142, ""PASS""), """")"),2.0)</f>
        <v>2</v>
      </c>
      <c r="K85" s="8">
        <f t="shared" si="2"/>
        <v>19.9609375</v>
      </c>
      <c r="L85" s="6" t="s">
        <v>29</v>
      </c>
      <c r="M85" s="7">
        <v>1.1049481E7</v>
      </c>
      <c r="N85" s="7">
        <v>152.209</v>
      </c>
      <c r="O85" s="7">
        <f>IFERROR(__xludf.DUMMYFUNCTION("IF(L85=""PASS"", RANK.EQ(M85, FILTER($M$2:$M$142, $L$2:$L$142=""PASS""), 1) + COUNTIFS($M$2:$M$142, M85, $N$2:$N$142, ""&lt;""&amp;N85, $L$2:$L$142, ""PASS""), """")"),4.0)</f>
        <v>4</v>
      </c>
      <c r="P85" s="8">
        <f t="shared" si="3"/>
        <v>19.87704918</v>
      </c>
      <c r="Q85" s="6" t="s">
        <v>29</v>
      </c>
      <c r="R85" s="7">
        <v>1.1028091E7</v>
      </c>
      <c r="S85" s="7">
        <v>152.0511</v>
      </c>
      <c r="T85" s="7">
        <f>IFERROR(__xludf.DUMMYFUNCTION("IF(Q85=""PASS"", RANK.EQ(R85, FILTER($R$2:$R$142, $Q$2:$Q$142=""PASS""), 1) + COUNTIFS($R$2:$R$142, R85, $S$2:$S$142, ""&lt;""&amp;S85, $Q$2:$Q$142, ""PASS""), """")"),4.0)</f>
        <v>4</v>
      </c>
      <c r="U85" s="8">
        <f t="shared" si="4"/>
        <v>19.875</v>
      </c>
      <c r="V85" s="12" t="s">
        <v>31</v>
      </c>
      <c r="W85" s="13">
        <v>1.28625339E8</v>
      </c>
      <c r="X85" s="13">
        <v>101.4909</v>
      </c>
      <c r="Y85" s="13" t="str">
        <f>IFERROR(__xludf.DUMMYFUNCTION("IF(V85=""PASS"", RANK.EQ(W85, FILTER($W$2:$W$142, $V$2:$V$142=""PASS""), 1) + COUNTIFS($W$2:$W$142, W85, $X$2:$X$142, ""&lt;""&amp;X85, $V$2:$V$142, ""PASS""), """")"),"")</f>
        <v/>
      </c>
      <c r="Z85" s="14">
        <f t="shared" si="5"/>
        <v>15</v>
      </c>
      <c r="AA85" s="10">
        <f t="shared" si="6"/>
        <v>94.71298668</v>
      </c>
      <c r="AB85" s="11" t="b">
        <v>0</v>
      </c>
      <c r="AC85" s="8">
        <f t="shared" si="8"/>
        <v>94.71298668</v>
      </c>
      <c r="AD85" s="7"/>
    </row>
    <row r="86">
      <c r="A86" s="5">
        <v>3.14510126E8</v>
      </c>
      <c r="B86" s="6" t="s">
        <v>29</v>
      </c>
      <c r="C86" s="7">
        <v>785369.0</v>
      </c>
      <c r="D86" s="7">
        <v>0.1668</v>
      </c>
      <c r="E86" s="7">
        <f>IFERROR(__xludf.DUMMYFUNCTION("IF(B86=""PASS"", RANK.EQ(C86, FILTER($C$2:$C$142, $B$2:$B$142=""PASS""), 1) + COUNTIFS($C$2:$C$142, C86, $D$2:$D$142, ""&lt;""&amp;D86, $B$2:$B$142, ""PASS""), """")"),57.0)</f>
        <v>57</v>
      </c>
      <c r="F86" s="8">
        <f t="shared" si="1"/>
        <v>17.82945736</v>
      </c>
      <c r="G86" s="6" t="s">
        <v>29</v>
      </c>
      <c r="H86" s="7">
        <v>3545452.0</v>
      </c>
      <c r="I86" s="7">
        <v>0.86</v>
      </c>
      <c r="J86" s="7">
        <f>IFERROR(__xludf.DUMMYFUNCTION("IF(G86=""PASS"", RANK.EQ(H86, FILTER($H$2:$H$142, $G$2:$G$142=""PASS""), 1) + COUNTIFS($H$2:$H$142, H86, $I$2:$I$142, ""&lt;""&amp;I86, $G$2:$G$142, ""PASS""), """")"),56.0)</f>
        <v>56</v>
      </c>
      <c r="K86" s="8">
        <f t="shared" si="2"/>
        <v>17.8515625</v>
      </c>
      <c r="L86" s="6" t="s">
        <v>29</v>
      </c>
      <c r="M86" s="7">
        <v>1.5267451E7</v>
      </c>
      <c r="N86" s="7">
        <v>3.8402</v>
      </c>
      <c r="O86" s="7">
        <f>IFERROR(__xludf.DUMMYFUNCTION("IF(L86=""PASS"", RANK.EQ(M86, FILTER($M$2:$M$142, $L$2:$L$142=""PASS""), 1) + COUNTIFS($M$2:$M$142, M86, $N$2:$N$142, ""&lt;""&amp;N86, $L$2:$L$142, ""PASS""), """")"),47.0)</f>
        <v>47</v>
      </c>
      <c r="P86" s="8">
        <f t="shared" si="3"/>
        <v>18.1147541</v>
      </c>
      <c r="Q86" s="6" t="s">
        <v>29</v>
      </c>
      <c r="R86" s="7">
        <v>1.5344538E7</v>
      </c>
      <c r="S86" s="7">
        <v>3.9375</v>
      </c>
      <c r="T86" s="7">
        <f>IFERROR(__xludf.DUMMYFUNCTION("IF(Q86=""PASS"", RANK.EQ(R86, FILTER($R$2:$R$142, $Q$2:$Q$142=""PASS""), 1) + COUNTIFS($R$2:$R$142, R86, $S$2:$S$142, ""&lt;""&amp;S86, $Q$2:$Q$142, ""PASS""), """")"),46.0)</f>
        <v>46</v>
      </c>
      <c r="U86" s="8">
        <f t="shared" si="4"/>
        <v>18.125</v>
      </c>
      <c r="V86" s="6" t="s">
        <v>29</v>
      </c>
      <c r="W86" s="7">
        <v>1.28625339E8</v>
      </c>
      <c r="X86" s="7">
        <v>16.5689</v>
      </c>
      <c r="Y86" s="7">
        <f>IFERROR(__xludf.DUMMYFUNCTION("IF(V86=""PASS"", RANK.EQ(W86, FILTER($W$2:$W$142, $V$2:$V$142=""PASS""), 1) + COUNTIFS($W$2:$W$142, W86, $X$2:$X$142, ""&lt;""&amp;X86, $V$2:$V$142, ""PASS""), """")"),9.0)</f>
        <v>9</v>
      </c>
      <c r="Z86" s="8">
        <f t="shared" si="5"/>
        <v>19.51807229</v>
      </c>
      <c r="AA86" s="10">
        <f t="shared" si="6"/>
        <v>91.43884625</v>
      </c>
      <c r="AB86" s="11" t="b">
        <v>0</v>
      </c>
      <c r="AC86" s="8">
        <f t="shared" si="8"/>
        <v>91.43884625</v>
      </c>
      <c r="AD86" s="7"/>
    </row>
    <row r="87">
      <c r="A87" s="5">
        <v>3.1451013E8</v>
      </c>
      <c r="B87" s="6" t="s">
        <v>29</v>
      </c>
      <c r="C87" s="7">
        <v>1027154.0</v>
      </c>
      <c r="D87" s="7">
        <v>5.9947</v>
      </c>
      <c r="E87" s="7">
        <f>IFERROR(__xludf.DUMMYFUNCTION("IF(B87=""PASS"", RANK.EQ(C87, FILTER($C$2:$C$142, $B$2:$B$142=""PASS""), 1) + COUNTIFS($C$2:$C$142, C87, $D$2:$D$142, ""&lt;""&amp;D87, $B$2:$B$142, ""PASS""), """")"),88.0)</f>
        <v>88</v>
      </c>
      <c r="F87" s="8">
        <f t="shared" si="1"/>
        <v>16.62790698</v>
      </c>
      <c r="G87" s="6" t="s">
        <v>29</v>
      </c>
      <c r="H87" s="7">
        <v>5237432.0</v>
      </c>
      <c r="I87" s="7">
        <v>34.9234</v>
      </c>
      <c r="J87" s="7">
        <f>IFERROR(__xludf.DUMMYFUNCTION("IF(G87=""PASS"", RANK.EQ(H87, FILTER($H$2:$H$142, $G$2:$G$142=""PASS""), 1) + COUNTIFS($H$2:$H$142, H87, $I$2:$I$142, ""&lt;""&amp;I87, $G$2:$G$142, ""PASS""), """")"),84.0)</f>
        <v>84</v>
      </c>
      <c r="K87" s="8">
        <f t="shared" si="2"/>
        <v>16.7578125</v>
      </c>
      <c r="L87" s="6" t="s">
        <v>29</v>
      </c>
      <c r="M87" s="7">
        <v>3.1941681E7</v>
      </c>
      <c r="N87" s="7">
        <v>35.2638</v>
      </c>
      <c r="O87" s="7">
        <f>IFERROR(__xludf.DUMMYFUNCTION("IF(L87=""PASS"", RANK.EQ(M87, FILTER($M$2:$M$142, $L$2:$L$142=""PASS""), 1) + COUNTIFS($M$2:$M$142, M87, $N$2:$N$142, ""&lt;""&amp;N87, $L$2:$L$142, ""PASS""), """")"),98.0)</f>
        <v>98</v>
      </c>
      <c r="P87" s="8">
        <f t="shared" si="3"/>
        <v>16.02459016</v>
      </c>
      <c r="Q87" s="6" t="s">
        <v>29</v>
      </c>
      <c r="R87" s="7">
        <v>3.2427832E7</v>
      </c>
      <c r="S87" s="7">
        <v>36.6423</v>
      </c>
      <c r="T87" s="7">
        <f>IFERROR(__xludf.DUMMYFUNCTION("IF(Q87=""PASS"", RANK.EQ(R87, FILTER($R$2:$R$142, $Q$2:$Q$142=""PASS""), 1) + COUNTIFS($R$2:$R$142, R87, $S$2:$S$142, ""&lt;""&amp;S87, $Q$2:$Q$142, ""PASS""), """")"),97.0)</f>
        <v>97</v>
      </c>
      <c r="U87" s="8">
        <f t="shared" si="4"/>
        <v>16</v>
      </c>
      <c r="V87" s="12" t="s">
        <v>31</v>
      </c>
      <c r="W87" s="13">
        <v>1.3421774E8</v>
      </c>
      <c r="X87" s="13">
        <v>30.7487</v>
      </c>
      <c r="Y87" s="13" t="str">
        <f>IFERROR(__xludf.DUMMYFUNCTION("IF(V87=""PASS"", RANK.EQ(W87, FILTER($W$2:$W$142, $V$2:$V$142=""PASS""), 1) + COUNTIFS($W$2:$W$142, W87, $X$2:$X$142, ""&lt;""&amp;X87, $V$2:$V$142, ""PASS""), """")"),"")</f>
        <v/>
      </c>
      <c r="Z87" s="14">
        <f t="shared" si="5"/>
        <v>15</v>
      </c>
      <c r="AA87" s="10">
        <f t="shared" si="6"/>
        <v>80.41030964</v>
      </c>
      <c r="AB87" s="11" t="b">
        <v>0</v>
      </c>
      <c r="AC87" s="8">
        <f t="shared" si="8"/>
        <v>80.41030964</v>
      </c>
      <c r="AD87" s="7"/>
    </row>
    <row r="88">
      <c r="A88" s="5">
        <v>3.14510133E8</v>
      </c>
      <c r="B88" s="6" t="s">
        <v>29</v>
      </c>
      <c r="C88" s="7">
        <v>1068109.0</v>
      </c>
      <c r="D88" s="7">
        <v>0.2059</v>
      </c>
      <c r="E88" s="7">
        <f>IFERROR(__xludf.DUMMYFUNCTION("IF(B88=""PASS"", RANK.EQ(C88, FILTER($C$2:$C$142, $B$2:$B$142=""PASS""), 1) + COUNTIFS($C$2:$C$142, C88, $D$2:$D$142, ""&lt;""&amp;D88, $B$2:$B$142, ""PASS""), """")"),104.0)</f>
        <v>104</v>
      </c>
      <c r="F88" s="8">
        <f t="shared" si="1"/>
        <v>16.00775194</v>
      </c>
      <c r="G88" s="6" t="s">
        <v>29</v>
      </c>
      <c r="H88" s="7">
        <v>5451538.0</v>
      </c>
      <c r="I88" s="7">
        <v>0.901</v>
      </c>
      <c r="J88" s="7">
        <f>IFERROR(__xludf.DUMMYFUNCTION("IF(G88=""PASS"", RANK.EQ(H88, FILTER($H$2:$H$142, $G$2:$G$142=""PASS""), 1) + COUNTIFS($H$2:$H$142, H88, $I$2:$I$142, ""&lt;""&amp;I88, $G$2:$G$142, ""PASS""), """")"),96.0)</f>
        <v>96</v>
      </c>
      <c r="K88" s="8">
        <f t="shared" si="2"/>
        <v>16.2890625</v>
      </c>
      <c r="L88" s="6" t="s">
        <v>29</v>
      </c>
      <c r="M88" s="7">
        <v>2.3278134E7</v>
      </c>
      <c r="N88" s="7">
        <v>4.0063</v>
      </c>
      <c r="O88" s="7">
        <f>IFERROR(__xludf.DUMMYFUNCTION("IF(L88=""PASS"", RANK.EQ(M88, FILTER($M$2:$M$142, $L$2:$L$142=""PASS""), 1) + COUNTIFS($M$2:$M$142, M88, $N$2:$N$142, ""&lt;""&amp;N88, $L$2:$L$142, ""PASS""), """")"),86.0)</f>
        <v>86</v>
      </c>
      <c r="P88" s="8">
        <f t="shared" si="3"/>
        <v>16.51639344</v>
      </c>
      <c r="Q88" s="6" t="s">
        <v>29</v>
      </c>
      <c r="R88" s="7">
        <v>2.3960206E7</v>
      </c>
      <c r="S88" s="7">
        <v>3.8227</v>
      </c>
      <c r="T88" s="7">
        <f>IFERROR(__xludf.DUMMYFUNCTION("IF(Q88=""PASS"", RANK.EQ(R88, FILTER($R$2:$R$142, $Q$2:$Q$142=""PASS""), 1) + COUNTIFS($R$2:$R$142, R88, $S$2:$S$142, ""&lt;""&amp;S88, $Q$2:$Q$142, ""PASS""), """")"),86.0)</f>
        <v>86</v>
      </c>
      <c r="U88" s="8">
        <f t="shared" si="4"/>
        <v>16.45833333</v>
      </c>
      <c r="V88" s="6" t="s">
        <v>29</v>
      </c>
      <c r="W88" s="7">
        <v>1.28625339E8</v>
      </c>
      <c r="X88" s="7">
        <v>10.7037</v>
      </c>
      <c r="Y88" s="7">
        <f>IFERROR(__xludf.DUMMYFUNCTION("IF(V88=""PASS"", RANK.EQ(W88, FILTER($W$2:$W$142, $V$2:$V$142=""PASS""), 1) + COUNTIFS($W$2:$W$142, W88, $X$2:$X$142, ""&lt;""&amp;X88, $V$2:$V$142, ""PASS""), """")"),6.0)</f>
        <v>6</v>
      </c>
      <c r="Z88" s="8">
        <f t="shared" si="5"/>
        <v>19.69879518</v>
      </c>
      <c r="AA88" s="10">
        <f t="shared" si="6"/>
        <v>84.97033639</v>
      </c>
      <c r="AB88" s="11" t="b">
        <v>0</v>
      </c>
      <c r="AC88" s="8">
        <f t="shared" si="8"/>
        <v>84.97033639</v>
      </c>
      <c r="AD88" s="7"/>
    </row>
    <row r="89">
      <c r="A89" s="5">
        <v>3.14510138E8</v>
      </c>
      <c r="B89" s="6" t="s">
        <v>29</v>
      </c>
      <c r="C89" s="7">
        <v>1222280.0</v>
      </c>
      <c r="D89" s="7">
        <v>0.1669</v>
      </c>
      <c r="E89" s="7">
        <f>IFERROR(__xludf.DUMMYFUNCTION("IF(B89=""PASS"", RANK.EQ(C89, FILTER($C$2:$C$142, $B$2:$B$142=""PASS""), 1) + COUNTIFS($C$2:$C$142, C89, $D$2:$D$142, ""&lt;""&amp;D89, $B$2:$B$142, ""PASS""), """")"),111.0)</f>
        <v>111</v>
      </c>
      <c r="F89" s="8">
        <f t="shared" si="1"/>
        <v>15.73643411</v>
      </c>
      <c r="G89" s="6" t="s">
        <v>29</v>
      </c>
      <c r="H89" s="7">
        <v>6241297.0</v>
      </c>
      <c r="I89" s="7">
        <v>0.7099</v>
      </c>
      <c r="J89" s="7">
        <f>IFERROR(__xludf.DUMMYFUNCTION("IF(G89=""PASS"", RANK.EQ(H89, FILTER($H$2:$H$142, $G$2:$G$142=""PASS""), 1) + COUNTIFS($H$2:$H$142, H89, $I$2:$I$142, ""&lt;""&amp;I89, $G$2:$G$142, ""PASS""), """")"),102.0)</f>
        <v>102</v>
      </c>
      <c r="K89" s="8">
        <f t="shared" si="2"/>
        <v>16.0546875</v>
      </c>
      <c r="L89" s="6" t="s">
        <v>29</v>
      </c>
      <c r="M89" s="7">
        <v>2.6790157E7</v>
      </c>
      <c r="N89" s="7">
        <v>3.0526</v>
      </c>
      <c r="O89" s="7">
        <f>IFERROR(__xludf.DUMMYFUNCTION("IF(L89=""PASS"", RANK.EQ(M89, FILTER($M$2:$M$142, $L$2:$L$142=""PASS""), 1) + COUNTIFS($M$2:$M$142, M89, $N$2:$N$142, ""&lt;""&amp;N89, $L$2:$L$142, ""PASS""), """")"),92.0)</f>
        <v>92</v>
      </c>
      <c r="P89" s="8">
        <f t="shared" si="3"/>
        <v>16.2704918</v>
      </c>
      <c r="Q89" s="6" t="s">
        <v>29</v>
      </c>
      <c r="R89" s="7">
        <v>2.7524659E7</v>
      </c>
      <c r="S89" s="7">
        <v>3.4237</v>
      </c>
      <c r="T89" s="7">
        <f>IFERROR(__xludf.DUMMYFUNCTION("IF(Q89=""PASS"", RANK.EQ(R89, FILTER($R$2:$R$142, $Q$2:$Q$142=""PASS""), 1) + COUNTIFS($R$2:$R$142, R89, $S$2:$S$142, ""&lt;""&amp;S89, $Q$2:$Q$142, ""PASS""), """")"),92.0)</f>
        <v>92</v>
      </c>
      <c r="U89" s="8">
        <f t="shared" si="4"/>
        <v>16.20833333</v>
      </c>
      <c r="V89" s="6" t="s">
        <v>29</v>
      </c>
      <c r="W89" s="7">
        <v>1.28625339E8</v>
      </c>
      <c r="X89" s="7">
        <v>10.4483</v>
      </c>
      <c r="Y89" s="7">
        <f>IFERROR(__xludf.DUMMYFUNCTION("IF(V89=""PASS"", RANK.EQ(W89, FILTER($W$2:$W$142, $V$2:$V$142=""PASS""), 1) + COUNTIFS($W$2:$W$142, W89, $X$2:$X$142, ""&lt;""&amp;X89, $V$2:$V$142, ""PASS""), """")"),5.0)</f>
        <v>5</v>
      </c>
      <c r="Z89" s="8">
        <f t="shared" si="5"/>
        <v>19.75903614</v>
      </c>
      <c r="AA89" s="10">
        <f t="shared" si="6"/>
        <v>84.02898289</v>
      </c>
      <c r="AB89" s="11" t="b">
        <v>0</v>
      </c>
      <c r="AC89" s="8">
        <f t="shared" si="8"/>
        <v>84.02898289</v>
      </c>
      <c r="AD89" s="7"/>
    </row>
    <row r="90">
      <c r="A90" s="5">
        <v>3.14510139E8</v>
      </c>
      <c r="B90" s="6" t="s">
        <v>29</v>
      </c>
      <c r="C90" s="7">
        <v>937330.0</v>
      </c>
      <c r="D90" s="7">
        <v>0.2261</v>
      </c>
      <c r="E90" s="7">
        <f>IFERROR(__xludf.DUMMYFUNCTION("IF(B90=""PASS"", RANK.EQ(C90, FILTER($C$2:$C$142, $B$2:$B$142=""PASS""), 1) + COUNTIFS($C$2:$C$142, C90, $D$2:$D$142, ""&lt;""&amp;D90, $B$2:$B$142, ""PASS""), """")"),77.0)</f>
        <v>77</v>
      </c>
      <c r="F90" s="8">
        <f t="shared" si="1"/>
        <v>17.05426357</v>
      </c>
      <c r="G90" s="6" t="s">
        <v>29</v>
      </c>
      <c r="H90" s="7">
        <v>4420337.0</v>
      </c>
      <c r="I90" s="7">
        <v>1.0925</v>
      </c>
      <c r="J90" s="7">
        <f>IFERROR(__xludf.DUMMYFUNCTION("IF(G90=""PASS"", RANK.EQ(H90, FILTER($H$2:$H$142, $G$2:$G$142=""PASS""), 1) + COUNTIFS($H$2:$H$142, H90, $I$2:$I$142, ""&lt;""&amp;I90, $G$2:$G$142, ""PASS""), """")"),72.0)</f>
        <v>72</v>
      </c>
      <c r="K90" s="8">
        <f t="shared" si="2"/>
        <v>17.2265625</v>
      </c>
      <c r="L90" s="6" t="s">
        <v>29</v>
      </c>
      <c r="M90" s="7">
        <v>1.9199472E7</v>
      </c>
      <c r="N90" s="7">
        <v>4.7021</v>
      </c>
      <c r="O90" s="7">
        <f>IFERROR(__xludf.DUMMYFUNCTION("IF(L90=""PASS"", RANK.EQ(M90, FILTER($M$2:$M$142, $L$2:$L$142=""PASS""), 1) + COUNTIFS($M$2:$M$142, M90, $N$2:$N$142, ""&lt;""&amp;N90, $L$2:$L$142, ""PASS""), """")"),66.0)</f>
        <v>66</v>
      </c>
      <c r="P90" s="8">
        <f t="shared" si="3"/>
        <v>17.33606557</v>
      </c>
      <c r="Q90" s="6" t="s">
        <v>29</v>
      </c>
      <c r="R90" s="7">
        <v>1.9427479E7</v>
      </c>
      <c r="S90" s="7">
        <v>4.8482</v>
      </c>
      <c r="T90" s="7">
        <f>IFERROR(__xludf.DUMMYFUNCTION("IF(Q90=""PASS"", RANK.EQ(R90, FILTER($R$2:$R$142, $Q$2:$Q$142=""PASS""), 1) + COUNTIFS($R$2:$R$142, R90, $S$2:$S$142, ""&lt;""&amp;S90, $Q$2:$Q$142, ""PASS""), """")"),64.0)</f>
        <v>64</v>
      </c>
      <c r="U90" s="8">
        <f t="shared" si="4"/>
        <v>17.375</v>
      </c>
      <c r="V90" s="6" t="s">
        <v>29</v>
      </c>
      <c r="W90" s="7">
        <v>1.28625339E8</v>
      </c>
      <c r="X90" s="7">
        <v>17.8088</v>
      </c>
      <c r="Y90" s="7">
        <f>IFERROR(__xludf.DUMMYFUNCTION("IF(V90=""PASS"", RANK.EQ(W90, FILTER($W$2:$W$142, $V$2:$V$142=""PASS""), 1) + COUNTIFS($W$2:$W$142, W90, $X$2:$X$142, ""&lt;""&amp;X90, $V$2:$V$142, ""PASS""), """")"),12.0)</f>
        <v>12</v>
      </c>
      <c r="Z90" s="8">
        <f t="shared" si="5"/>
        <v>19.3373494</v>
      </c>
      <c r="AA90" s="10">
        <f t="shared" si="6"/>
        <v>88.32924104</v>
      </c>
      <c r="AB90" s="11" t="b">
        <v>0</v>
      </c>
      <c r="AC90" s="8">
        <f t="shared" si="8"/>
        <v>88.32924104</v>
      </c>
      <c r="AD90" s="7"/>
    </row>
    <row r="91">
      <c r="A91" s="5">
        <v>3.14510142E8</v>
      </c>
      <c r="B91" s="6" t="s">
        <v>29</v>
      </c>
      <c r="C91" s="7">
        <v>961128.0</v>
      </c>
      <c r="D91" s="7">
        <v>24.8229</v>
      </c>
      <c r="E91" s="7">
        <f>IFERROR(__xludf.DUMMYFUNCTION("IF(B91=""PASS"", RANK.EQ(C91, FILTER($C$2:$C$142, $B$2:$B$142=""PASS""), 1) + COUNTIFS($C$2:$C$142, C91, $D$2:$D$142, ""&lt;""&amp;D91, $B$2:$B$142, ""PASS""), """")"),83.0)</f>
        <v>83</v>
      </c>
      <c r="F91" s="8">
        <f t="shared" si="1"/>
        <v>16.82170543</v>
      </c>
      <c r="G91" s="6" t="s">
        <v>29</v>
      </c>
      <c r="H91" s="7">
        <v>7536706.0</v>
      </c>
      <c r="I91" s="7">
        <v>175.3046</v>
      </c>
      <c r="J91" s="7">
        <f>IFERROR(__xludf.DUMMYFUNCTION("IF(G91=""PASS"", RANK.EQ(H91, FILTER($H$2:$H$142, $G$2:$G$142=""PASS""), 1) + COUNTIFS($H$2:$H$142, H91, $I$2:$I$142, ""&lt;""&amp;I91, $G$2:$G$142, ""PASS""), """")"),108.0)</f>
        <v>108</v>
      </c>
      <c r="K91" s="8">
        <f t="shared" si="2"/>
        <v>15.8203125</v>
      </c>
      <c r="L91" s="6" t="s">
        <v>29</v>
      </c>
      <c r="M91" s="7">
        <v>3.7097009E7</v>
      </c>
      <c r="N91" s="7">
        <v>176.3219</v>
      </c>
      <c r="O91" s="7">
        <f>IFERROR(__xludf.DUMMYFUNCTION("IF(L91=""PASS"", RANK.EQ(M91, FILTER($M$2:$M$142, $L$2:$L$142=""PASS""), 1) + COUNTIFS($M$2:$M$142, M91, $N$2:$N$142, ""&lt;""&amp;N91, $L$2:$L$142, ""PASS""), """")"),104.0)</f>
        <v>104</v>
      </c>
      <c r="P91" s="8">
        <f t="shared" si="3"/>
        <v>15.77868852</v>
      </c>
      <c r="Q91" s="6" t="s">
        <v>29</v>
      </c>
      <c r="R91" s="7">
        <v>3.832816E7</v>
      </c>
      <c r="S91" s="7">
        <v>176.374</v>
      </c>
      <c r="T91" s="7">
        <f>IFERROR(__xludf.DUMMYFUNCTION("IF(Q91=""PASS"", RANK.EQ(R91, FILTER($R$2:$R$142, $Q$2:$Q$142=""PASS""), 1) + COUNTIFS($R$2:$R$142, R91, $S$2:$S$142, ""&lt;""&amp;S91, $Q$2:$Q$142, ""PASS""), """")"),104.0)</f>
        <v>104</v>
      </c>
      <c r="U91" s="8">
        <f t="shared" si="4"/>
        <v>15.70833333</v>
      </c>
      <c r="V91" s="6" t="s">
        <v>29</v>
      </c>
      <c r="W91" s="7">
        <v>1.34217743E8</v>
      </c>
      <c r="X91" s="7">
        <v>179.2844</v>
      </c>
      <c r="Y91" s="7">
        <f>IFERROR(__xludf.DUMMYFUNCTION("IF(V91=""PASS"", RANK.EQ(W91, FILTER($W$2:$W$142, $V$2:$V$142=""PASS""), 1) + COUNTIFS($W$2:$W$142, W91, $X$2:$X$142, ""&lt;""&amp;X91, $V$2:$V$142, ""PASS""), """")"),82.0)</f>
        <v>82</v>
      </c>
      <c r="Z91" s="8">
        <f t="shared" si="5"/>
        <v>15.12048193</v>
      </c>
      <c r="AA91" s="10">
        <f t="shared" si="6"/>
        <v>79.24952171</v>
      </c>
      <c r="AB91" s="11" t="b">
        <v>0</v>
      </c>
      <c r="AC91" s="8">
        <f t="shared" si="8"/>
        <v>79.24952171</v>
      </c>
      <c r="AD91" s="7"/>
    </row>
    <row r="92">
      <c r="A92" s="5">
        <v>3.14510144E8</v>
      </c>
      <c r="B92" s="6" t="s">
        <v>29</v>
      </c>
      <c r="C92" s="7">
        <v>704417.0</v>
      </c>
      <c r="D92" s="7">
        <v>150.3551</v>
      </c>
      <c r="E92" s="7">
        <f>IFERROR(__xludf.DUMMYFUNCTION("IF(B92=""PASS"", RANK.EQ(C92, FILTER($C$2:$C$142, $B$2:$B$142=""PASS""), 1) + COUNTIFS($C$2:$C$142, C92, $D$2:$D$142, ""&lt;""&amp;D92, $B$2:$B$142, ""PASS""), """")"),46.0)</f>
        <v>46</v>
      </c>
      <c r="F92" s="8">
        <f t="shared" si="1"/>
        <v>18.25581395</v>
      </c>
      <c r="G92" s="6" t="s">
        <v>29</v>
      </c>
      <c r="H92" s="7">
        <v>3111270.0</v>
      </c>
      <c r="I92" s="7">
        <v>150.5304</v>
      </c>
      <c r="J92" s="7">
        <f>IFERROR(__xludf.DUMMYFUNCTION("IF(G92=""PASS"", RANK.EQ(H92, FILTER($H$2:$H$142, $G$2:$G$142=""PASS""), 1) + COUNTIFS($H$2:$H$142, H92, $I$2:$I$142, ""&lt;""&amp;I92, $G$2:$G$142, ""PASS""), """")"),46.0)</f>
        <v>46</v>
      </c>
      <c r="K92" s="8">
        <f t="shared" si="2"/>
        <v>18.2421875</v>
      </c>
      <c r="L92" s="6" t="s">
        <v>29</v>
      </c>
      <c r="M92" s="7">
        <v>1.3639427E7</v>
      </c>
      <c r="N92" s="7">
        <v>151.2661</v>
      </c>
      <c r="O92" s="7">
        <f>IFERROR(__xludf.DUMMYFUNCTION("IF(L92=""PASS"", RANK.EQ(M92, FILTER($M$2:$M$142, $L$2:$L$142=""PASS""), 1) + COUNTIFS($M$2:$M$142, M92, $N$2:$N$142, ""&lt;""&amp;N92, $L$2:$L$142, ""PASS""), """")"),38.0)</f>
        <v>38</v>
      </c>
      <c r="P92" s="8">
        <f t="shared" si="3"/>
        <v>18.48360656</v>
      </c>
      <c r="Q92" s="6" t="s">
        <v>29</v>
      </c>
      <c r="R92" s="7">
        <v>1.3695614E7</v>
      </c>
      <c r="S92" s="7">
        <v>151.2779</v>
      </c>
      <c r="T92" s="7">
        <f>IFERROR(__xludf.DUMMYFUNCTION("IF(Q92=""PASS"", RANK.EQ(R92, FILTER($R$2:$R$142, $Q$2:$Q$142=""PASS""), 1) + COUNTIFS($R$2:$R$142, R92, $S$2:$S$142, ""&lt;""&amp;S92, $Q$2:$Q$142, ""PASS""), """")"),38.0)</f>
        <v>38</v>
      </c>
      <c r="U92" s="8">
        <f t="shared" si="4"/>
        <v>18.45833333</v>
      </c>
      <c r="V92" s="6" t="s">
        <v>29</v>
      </c>
      <c r="W92" s="7">
        <v>1.28625339E8</v>
      </c>
      <c r="X92" s="7">
        <v>158.6537</v>
      </c>
      <c r="Y92" s="7">
        <f>IFERROR(__xludf.DUMMYFUNCTION("IF(V92=""PASS"", RANK.EQ(W92, FILTER($W$2:$W$142, $V$2:$V$142=""PASS""), 1) + COUNTIFS($W$2:$W$142, W92, $X$2:$X$142, ""&lt;""&amp;X92, $V$2:$V$142, ""PASS""), """")"),54.0)</f>
        <v>54</v>
      </c>
      <c r="Z92" s="8">
        <f t="shared" si="5"/>
        <v>16.80722892</v>
      </c>
      <c r="AA92" s="10">
        <f t="shared" si="6"/>
        <v>90.24717026</v>
      </c>
      <c r="AB92" s="17" t="b">
        <v>0</v>
      </c>
      <c r="AC92" s="8">
        <f t="shared" si="8"/>
        <v>90.24717026</v>
      </c>
      <c r="AD92" s="7"/>
    </row>
    <row r="93">
      <c r="A93" s="5">
        <v>3.14510146E8</v>
      </c>
      <c r="B93" s="6" t="s">
        <v>29</v>
      </c>
      <c r="C93" s="7">
        <v>690337.0</v>
      </c>
      <c r="D93" s="7">
        <v>0.299</v>
      </c>
      <c r="E93" s="7">
        <f>IFERROR(__xludf.DUMMYFUNCTION("IF(B93=""PASS"", RANK.EQ(C93, FILTER($C$2:$C$142, $B$2:$B$142=""PASS""), 1) + COUNTIFS($C$2:$C$142, C93, $D$2:$D$142, ""&lt;""&amp;D93, $B$2:$B$142, ""PASS""), """")"),36.0)</f>
        <v>36</v>
      </c>
      <c r="F93" s="8">
        <f t="shared" si="1"/>
        <v>18.64341085</v>
      </c>
      <c r="G93" s="6" t="s">
        <v>29</v>
      </c>
      <c r="H93" s="7">
        <v>3020841.0</v>
      </c>
      <c r="I93" s="7">
        <v>1.5292</v>
      </c>
      <c r="J93" s="7">
        <f>IFERROR(__xludf.DUMMYFUNCTION("IF(G93=""PASS"", RANK.EQ(H93, FILTER($H$2:$H$142, $G$2:$G$142=""PASS""), 1) + COUNTIFS($H$2:$H$142, H93, $I$2:$I$142, ""&lt;""&amp;I93, $G$2:$G$142, ""PASS""), """")"),36.0)</f>
        <v>36</v>
      </c>
      <c r="K93" s="8">
        <f t="shared" si="2"/>
        <v>18.6328125</v>
      </c>
      <c r="L93" s="6" t="s">
        <v>29</v>
      </c>
      <c r="M93" s="7">
        <v>1.2956554E7</v>
      </c>
      <c r="N93" s="7">
        <v>6.8102</v>
      </c>
      <c r="O93" s="7">
        <f>IFERROR(__xludf.DUMMYFUNCTION("IF(L93=""PASS"", RANK.EQ(M93, FILTER($M$2:$M$142, $L$2:$L$142=""PASS""), 1) + COUNTIFS($M$2:$M$142, M93, $N$2:$N$142, ""&lt;""&amp;N93, $L$2:$L$142, ""PASS""), """")"),24.0)</f>
        <v>24</v>
      </c>
      <c r="P93" s="8">
        <f t="shared" si="3"/>
        <v>19.05737705</v>
      </c>
      <c r="Q93" s="6" t="s">
        <v>29</v>
      </c>
      <c r="R93" s="7">
        <v>1.2969353E7</v>
      </c>
      <c r="S93" s="7">
        <v>7.0511</v>
      </c>
      <c r="T93" s="7">
        <f>IFERROR(__xludf.DUMMYFUNCTION("IF(Q93=""PASS"", RANK.EQ(R93, FILTER($R$2:$R$142, $Q$2:$Q$142=""PASS""), 1) + COUNTIFS($R$2:$R$142, R93, $S$2:$S$142, ""&lt;""&amp;S93, $Q$2:$Q$142, ""PASS""), """")"),24.0)</f>
        <v>24</v>
      </c>
      <c r="U93" s="8">
        <f t="shared" si="4"/>
        <v>19.04166667</v>
      </c>
      <c r="V93" s="6" t="s">
        <v>29</v>
      </c>
      <c r="W93" s="7">
        <v>1.28625339E8</v>
      </c>
      <c r="X93" s="7">
        <v>26.4342</v>
      </c>
      <c r="Y93" s="7">
        <f>IFERROR(__xludf.DUMMYFUNCTION("IF(V93=""PASS"", RANK.EQ(W93, FILTER($W$2:$W$142, $V$2:$V$142=""PASS""), 1) + COUNTIFS($W$2:$W$142, W93, $X$2:$X$142, ""&lt;""&amp;X93, $V$2:$V$142, ""PASS""), """")"),20.0)</f>
        <v>20</v>
      </c>
      <c r="Z93" s="8">
        <f t="shared" si="5"/>
        <v>18.85542169</v>
      </c>
      <c r="AA93" s="10">
        <f t="shared" si="6"/>
        <v>94.23068876</v>
      </c>
      <c r="AB93" s="11" t="b">
        <v>0</v>
      </c>
      <c r="AC93" s="8">
        <f t="shared" si="8"/>
        <v>94.23068876</v>
      </c>
      <c r="AD93" s="7"/>
    </row>
    <row r="94">
      <c r="A94" s="5">
        <v>3.14510148E8</v>
      </c>
      <c r="B94" s="6" t="s">
        <v>29</v>
      </c>
      <c r="C94" s="7">
        <v>691522.0</v>
      </c>
      <c r="D94" s="7">
        <v>0.9781</v>
      </c>
      <c r="E94" s="7">
        <f>IFERROR(__xludf.DUMMYFUNCTION("IF(B94=""PASS"", RANK.EQ(C94, FILTER($C$2:$C$142, $B$2:$B$142=""PASS""), 1) + COUNTIFS($C$2:$C$142, C94, $D$2:$D$142, ""&lt;""&amp;D94, $B$2:$B$142, ""PASS""), """")"),41.0)</f>
        <v>41</v>
      </c>
      <c r="F94" s="8">
        <f t="shared" si="1"/>
        <v>18.4496124</v>
      </c>
      <c r="G94" s="6" t="s">
        <v>29</v>
      </c>
      <c r="H94" s="7">
        <v>3021060.0</v>
      </c>
      <c r="I94" s="7">
        <v>4.9662</v>
      </c>
      <c r="J94" s="7">
        <f>IFERROR(__xludf.DUMMYFUNCTION("IF(G94=""PASS"", RANK.EQ(H94, FILTER($H$2:$H$142, $G$2:$G$142=""PASS""), 1) + COUNTIFS($H$2:$H$142, H94, $I$2:$I$142, ""&lt;""&amp;I94, $G$2:$G$142, ""PASS""), """")"),39.0)</f>
        <v>39</v>
      </c>
      <c r="K94" s="8">
        <f t="shared" si="2"/>
        <v>18.515625</v>
      </c>
      <c r="L94" s="6" t="s">
        <v>29</v>
      </c>
      <c r="M94" s="7">
        <v>1.2978882E7</v>
      </c>
      <c r="N94" s="7">
        <v>21.3688</v>
      </c>
      <c r="O94" s="7">
        <f>IFERROR(__xludf.DUMMYFUNCTION("IF(L94=""PASS"", RANK.EQ(M94, FILTER($M$2:$M$142, $L$2:$L$142=""PASS""), 1) + COUNTIFS($M$2:$M$142, M94, $N$2:$N$142, ""&lt;""&amp;N94, $L$2:$L$142, ""PASS""), """")"),31.0)</f>
        <v>31</v>
      </c>
      <c r="P94" s="8">
        <f t="shared" si="3"/>
        <v>18.7704918</v>
      </c>
      <c r="Q94" s="6" t="s">
        <v>29</v>
      </c>
      <c r="R94" s="7">
        <v>1.2986835E7</v>
      </c>
      <c r="S94" s="7">
        <v>21.9613</v>
      </c>
      <c r="T94" s="7">
        <f>IFERROR(__xludf.DUMMYFUNCTION("IF(Q94=""PASS"", RANK.EQ(R94, FILTER($R$2:$R$142, $Q$2:$Q$142=""PASS""), 1) + COUNTIFS($R$2:$R$142, R94, $S$2:$S$142, ""&lt;""&amp;S94, $Q$2:$Q$142, ""PASS""), """")"),32.0)</f>
        <v>32</v>
      </c>
      <c r="U94" s="8">
        <f t="shared" si="4"/>
        <v>18.70833333</v>
      </c>
      <c r="V94" s="6" t="s">
        <v>29</v>
      </c>
      <c r="W94" s="7">
        <v>1.28625339E8</v>
      </c>
      <c r="X94" s="7">
        <v>128.4158</v>
      </c>
      <c r="Y94" s="7">
        <f>IFERROR(__xludf.DUMMYFUNCTION("IF(V94=""PASS"", RANK.EQ(W94, FILTER($W$2:$W$142, $V$2:$V$142=""PASS""), 1) + COUNTIFS($W$2:$W$142, W94, $X$2:$X$142, ""&lt;""&amp;X94, $V$2:$V$142, ""PASS""), """")"),48.0)</f>
        <v>48</v>
      </c>
      <c r="Z94" s="8">
        <f t="shared" si="5"/>
        <v>17.1686747</v>
      </c>
      <c r="AA94" s="10">
        <f t="shared" si="6"/>
        <v>91.61273724</v>
      </c>
      <c r="AB94" s="11" t="b">
        <v>0</v>
      </c>
      <c r="AC94" s="8">
        <f t="shared" si="8"/>
        <v>91.61273724</v>
      </c>
      <c r="AD94" s="7"/>
    </row>
    <row r="95">
      <c r="A95" s="5">
        <v>3.14510149E8</v>
      </c>
      <c r="B95" s="6" t="s">
        <v>29</v>
      </c>
      <c r="C95" s="7">
        <v>785369.0</v>
      </c>
      <c r="D95" s="7">
        <v>0.5276</v>
      </c>
      <c r="E95" s="7">
        <f>IFERROR(__xludf.DUMMYFUNCTION("IF(B95=""PASS"", RANK.EQ(C95, FILTER($C$2:$C$142, $B$2:$B$142=""PASS""), 1) + COUNTIFS($C$2:$C$142, C95, $D$2:$D$142, ""&lt;""&amp;D95, $B$2:$B$142, ""PASS""), """")"),59.0)</f>
        <v>59</v>
      </c>
      <c r="F95" s="8">
        <f t="shared" si="1"/>
        <v>17.75193798</v>
      </c>
      <c r="G95" s="6" t="s">
        <v>29</v>
      </c>
      <c r="H95" s="7">
        <v>3545452.0</v>
      </c>
      <c r="I95" s="7">
        <v>2.6821</v>
      </c>
      <c r="J95" s="7">
        <f>IFERROR(__xludf.DUMMYFUNCTION("IF(G95=""PASS"", RANK.EQ(H95, FILTER($H$2:$H$142, $G$2:$G$142=""PASS""), 1) + COUNTIFS($H$2:$H$142, H95, $I$2:$I$142, ""&lt;""&amp;I95, $G$2:$G$142, ""PASS""), """")"),58.0)</f>
        <v>58</v>
      </c>
      <c r="K95" s="8">
        <f t="shared" si="2"/>
        <v>17.7734375</v>
      </c>
      <c r="L95" s="6" t="s">
        <v>29</v>
      </c>
      <c r="M95" s="7">
        <v>1.5267451E7</v>
      </c>
      <c r="N95" s="7">
        <v>11.3727</v>
      </c>
      <c r="O95" s="7">
        <f>IFERROR(__xludf.DUMMYFUNCTION("IF(L95=""PASS"", RANK.EQ(M95, FILTER($M$2:$M$142, $L$2:$L$142=""PASS""), 1) + COUNTIFS($M$2:$M$142, M95, $N$2:$N$142, ""&lt;""&amp;N95, $L$2:$L$142, ""PASS""), """")"),50.0)</f>
        <v>50</v>
      </c>
      <c r="P95" s="8">
        <f t="shared" si="3"/>
        <v>17.99180328</v>
      </c>
      <c r="Q95" s="6" t="s">
        <v>29</v>
      </c>
      <c r="R95" s="7">
        <v>1.5344538E7</v>
      </c>
      <c r="S95" s="7">
        <v>11.7431</v>
      </c>
      <c r="T95" s="7">
        <f>IFERROR(__xludf.DUMMYFUNCTION("IF(Q95=""PASS"", RANK.EQ(R95, FILTER($R$2:$R$142, $Q$2:$Q$142=""PASS""), 1) + COUNTIFS($R$2:$R$142, R95, $S$2:$S$142, ""&lt;""&amp;S95, $Q$2:$Q$142, ""PASS""), """")"),49.0)</f>
        <v>49</v>
      </c>
      <c r="U95" s="8">
        <f t="shared" si="4"/>
        <v>18</v>
      </c>
      <c r="V95" s="6" t="s">
        <v>29</v>
      </c>
      <c r="W95" s="7">
        <v>1.28625339E8</v>
      </c>
      <c r="X95" s="7">
        <v>50.3237</v>
      </c>
      <c r="Y95" s="7">
        <f>IFERROR(__xludf.DUMMYFUNCTION("IF(V95=""PASS"", RANK.EQ(W95, FILTER($W$2:$W$142, $V$2:$V$142=""PASS""), 1) + COUNTIFS($W$2:$W$142, W95, $X$2:$X$142, ""&lt;""&amp;X95, $V$2:$V$142, ""PASS""), """")"),32.0)</f>
        <v>32</v>
      </c>
      <c r="Z95" s="8">
        <f t="shared" si="5"/>
        <v>18.13253012</v>
      </c>
      <c r="AA95" s="10">
        <f t="shared" si="6"/>
        <v>89.64970888</v>
      </c>
      <c r="AB95" s="11" t="b">
        <v>0</v>
      </c>
      <c r="AC95" s="8">
        <f t="shared" si="8"/>
        <v>89.64970888</v>
      </c>
      <c r="AD95" s="7"/>
    </row>
    <row r="96">
      <c r="A96" s="5">
        <v>3.14510151E8</v>
      </c>
      <c r="B96" s="6" t="s">
        <v>29</v>
      </c>
      <c r="C96" s="7">
        <v>662131.0</v>
      </c>
      <c r="D96" s="7">
        <v>3.0843</v>
      </c>
      <c r="E96" s="7">
        <f>IFERROR(__xludf.DUMMYFUNCTION("IF(B96=""PASS"", RANK.EQ(C96, FILTER($C$2:$C$142, $B$2:$B$142=""PASS""), 1) + COUNTIFS($C$2:$C$142, C96, $D$2:$D$142, ""&lt;""&amp;D96, $B$2:$B$142, ""PASS""), """")"),20.0)</f>
        <v>20</v>
      </c>
      <c r="F96" s="8">
        <f t="shared" si="1"/>
        <v>19.26356589</v>
      </c>
      <c r="G96" s="6" t="s">
        <v>29</v>
      </c>
      <c r="H96" s="7">
        <v>2829162.0</v>
      </c>
      <c r="I96" s="7">
        <v>13.0182</v>
      </c>
      <c r="J96" s="7">
        <f>IFERROR(__xludf.DUMMYFUNCTION("IF(G96=""PASS"", RANK.EQ(H96, FILTER($H$2:$H$142, $G$2:$G$142=""PASS""), 1) + COUNTIFS($H$2:$H$142, H96, $I$2:$I$142, ""&lt;""&amp;I96, $G$2:$G$142, ""PASS""), """")"),17.0)</f>
        <v>17</v>
      </c>
      <c r="K96" s="8">
        <f t="shared" si="2"/>
        <v>19.375</v>
      </c>
      <c r="L96" s="6" t="s">
        <v>29</v>
      </c>
      <c r="M96" s="7">
        <v>1.200936E7</v>
      </c>
      <c r="N96" s="7">
        <v>49.6328</v>
      </c>
      <c r="O96" s="7">
        <f>IFERROR(__xludf.DUMMYFUNCTION("IF(L96=""PASS"", RANK.EQ(M96, FILTER($M$2:$M$142, $L$2:$L$142=""PASS""), 1) + COUNTIFS($M$2:$M$142, M96, $N$2:$N$142, ""&lt;""&amp;N96, $L$2:$L$142, ""PASS""), """")"),9.0)</f>
        <v>9</v>
      </c>
      <c r="P96" s="8">
        <f t="shared" si="3"/>
        <v>19.67213115</v>
      </c>
      <c r="Q96" s="6" t="s">
        <v>29</v>
      </c>
      <c r="R96" s="7">
        <v>1.1989171E7</v>
      </c>
      <c r="S96" s="7">
        <v>49.1419</v>
      </c>
      <c r="T96" s="7">
        <f>IFERROR(__xludf.DUMMYFUNCTION("IF(Q96=""PASS"", RANK.EQ(R96, FILTER($R$2:$R$142, $Q$2:$Q$142=""PASS""), 1) + COUNTIFS($R$2:$R$142, R96, $S$2:$S$142, ""&lt;""&amp;S96, $Q$2:$Q$142, ""PASS""), """")"),9.0)</f>
        <v>9</v>
      </c>
      <c r="U96" s="8">
        <f t="shared" si="4"/>
        <v>19.66666667</v>
      </c>
      <c r="V96" s="6" t="s">
        <v>30</v>
      </c>
      <c r="W96" s="9"/>
      <c r="X96" s="7">
        <v>5.4362</v>
      </c>
      <c r="Y96" s="7" t="str">
        <f>IFERROR(__xludf.DUMMYFUNCTION("IF(V96=""PASS"", RANK.EQ(W96, FILTER($W$2:$W$142, $V$2:$V$142=""PASS""), 1) + COUNTIFS($W$2:$W$142, W96, $X$2:$X$142, ""&lt;""&amp;X96, $V$2:$V$142, ""PASS""), """")"),"")</f>
        <v/>
      </c>
      <c r="Z96" s="8">
        <f t="shared" si="5"/>
        <v>0</v>
      </c>
      <c r="AA96" s="10">
        <f t="shared" si="6"/>
        <v>77.97736371</v>
      </c>
      <c r="AB96" s="11" t="b">
        <v>0</v>
      </c>
      <c r="AC96" s="8">
        <f t="shared" si="8"/>
        <v>77.97736371</v>
      </c>
      <c r="AD96" s="7"/>
    </row>
    <row r="97">
      <c r="A97" s="5">
        <v>3.14510152E8</v>
      </c>
      <c r="B97" s="6" t="s">
        <v>29</v>
      </c>
      <c r="C97" s="7">
        <v>670870.0</v>
      </c>
      <c r="D97" s="7">
        <v>13.7193</v>
      </c>
      <c r="E97" s="7">
        <f>IFERROR(__xludf.DUMMYFUNCTION("IF(B97=""PASS"", RANK.EQ(C97, FILTER($C$2:$C$142, $B$2:$B$142=""PASS""), 1) + COUNTIFS($C$2:$C$142, C97, $D$2:$D$142, ""&lt;""&amp;D97, $B$2:$B$142, ""PASS""), """")"),24.0)</f>
        <v>24</v>
      </c>
      <c r="F97" s="8">
        <f t="shared" si="1"/>
        <v>19.10852713</v>
      </c>
      <c r="G97" s="6" t="s">
        <v>29</v>
      </c>
      <c r="H97" s="7">
        <v>2883966.0</v>
      </c>
      <c r="I97" s="7">
        <v>143.4518</v>
      </c>
      <c r="J97" s="7">
        <f>IFERROR(__xludf.DUMMYFUNCTION("IF(G97=""PASS"", RANK.EQ(H97, FILTER($H$2:$H$142, $G$2:$G$142=""PASS""), 1) + COUNTIFS($H$2:$H$142, H97, $I$2:$I$142, ""&lt;""&amp;I97, $G$2:$G$142, ""PASS""), """")"),20.0)</f>
        <v>20</v>
      </c>
      <c r="K97" s="8">
        <f t="shared" si="2"/>
        <v>19.2578125</v>
      </c>
      <c r="L97" s="6" t="s">
        <v>29</v>
      </c>
      <c r="M97" s="7">
        <v>3.7449829E7</v>
      </c>
      <c r="N97" s="7">
        <v>180.6388</v>
      </c>
      <c r="O97" s="7">
        <f>IFERROR(__xludf.DUMMYFUNCTION("IF(L97=""PASS"", RANK.EQ(M97, FILTER($M$2:$M$142, $L$2:$L$142=""PASS""), 1) + COUNTIFS($M$2:$M$142, M97, $N$2:$N$142, ""&lt;""&amp;N97, $L$2:$L$142, ""PASS""), """")"),121.0)</f>
        <v>121</v>
      </c>
      <c r="P97" s="8">
        <f t="shared" si="3"/>
        <v>15.08196721</v>
      </c>
      <c r="Q97" s="12" t="s">
        <v>31</v>
      </c>
      <c r="R97" s="13">
        <v>3.8672677E7</v>
      </c>
      <c r="S97" s="13">
        <v>1.4945</v>
      </c>
      <c r="T97" s="13" t="str">
        <f>IFERROR(__xludf.DUMMYFUNCTION("IF(Q97=""PASS"", RANK.EQ(R97, FILTER($R$2:$R$142, $Q$2:$Q$142=""PASS""), 1) + COUNTIFS($R$2:$R$142, R97, $S$2:$S$142, ""&lt;""&amp;S97, $Q$2:$Q$142, ""PASS""), """")"),"")</f>
        <v/>
      </c>
      <c r="U97" s="14">
        <f t="shared" si="4"/>
        <v>15</v>
      </c>
      <c r="V97" s="6" t="s">
        <v>29</v>
      </c>
      <c r="W97" s="7">
        <v>1.34217743E8</v>
      </c>
      <c r="X97" s="7">
        <v>182.0632</v>
      </c>
      <c r="Y97" s="7">
        <f>IFERROR(__xludf.DUMMYFUNCTION("IF(V97=""PASS"", RANK.EQ(W97, FILTER($W$2:$W$142, $V$2:$V$142=""PASS""), 1) + COUNTIFS($W$2:$W$142, W97, $X$2:$X$142, ""&lt;""&amp;X97, $V$2:$V$142, ""PASS""), """")"),83.0)</f>
        <v>83</v>
      </c>
      <c r="Z97" s="8">
        <f t="shared" si="5"/>
        <v>15.06024096</v>
      </c>
      <c r="AA97" s="10">
        <f t="shared" si="6"/>
        <v>83.50854781</v>
      </c>
      <c r="AB97" s="15" t="b">
        <v>1</v>
      </c>
      <c r="AC97" s="8">
        <f t="shared" si="8"/>
        <v>78.50854781</v>
      </c>
      <c r="AD97" s="7"/>
    </row>
    <row r="98">
      <c r="A98" s="5">
        <v>3.14510162E8</v>
      </c>
      <c r="B98" s="6" t="s">
        <v>29</v>
      </c>
      <c r="C98" s="7">
        <v>690322.0</v>
      </c>
      <c r="D98" s="7">
        <v>4.3489</v>
      </c>
      <c r="E98" s="7">
        <f>IFERROR(__xludf.DUMMYFUNCTION("IF(B98=""PASS"", RANK.EQ(C98, FILTER($C$2:$C$142, $B$2:$B$142=""PASS""), 1) + COUNTIFS($C$2:$C$142, C98, $D$2:$D$142, ""&lt;""&amp;D98, $B$2:$B$142, ""PASS""), """")"),35.0)</f>
        <v>35</v>
      </c>
      <c r="F98" s="8">
        <f t="shared" si="1"/>
        <v>18.68217054</v>
      </c>
      <c r="G98" s="6" t="s">
        <v>29</v>
      </c>
      <c r="H98" s="7">
        <v>3031692.0</v>
      </c>
      <c r="I98" s="7">
        <v>28.9389</v>
      </c>
      <c r="J98" s="7">
        <f>IFERROR(__xludf.DUMMYFUNCTION("IF(G98=""PASS"", RANK.EQ(H98, FILTER($H$2:$H$142, $G$2:$G$142=""PASS""), 1) + COUNTIFS($H$2:$H$142, H98, $I$2:$I$142, ""&lt;""&amp;I98, $G$2:$G$142, ""PASS""), """")"),43.0)</f>
        <v>43</v>
      </c>
      <c r="K98" s="8">
        <f t="shared" si="2"/>
        <v>18.359375</v>
      </c>
      <c r="L98" s="12" t="s">
        <v>31</v>
      </c>
      <c r="M98" s="13">
        <v>1.3011007E7</v>
      </c>
      <c r="N98" s="13">
        <v>166.5884</v>
      </c>
      <c r="O98" s="13" t="str">
        <f>IFERROR(__xludf.DUMMYFUNCTION("IF(L98=""PASS"", RANK.EQ(M98, FILTER($M$2:$M$142, $L$2:$L$142=""PASS""), 1) + COUNTIFS($M$2:$M$142, M98, $N$2:$N$142, ""&lt;""&amp;N98, $L$2:$L$142, ""PASS""), """")"),"")</f>
        <v/>
      </c>
      <c r="P98" s="14">
        <f t="shared" si="3"/>
        <v>15</v>
      </c>
      <c r="Q98" s="12" t="s">
        <v>31</v>
      </c>
      <c r="R98" s="13">
        <v>1.3028589E7</v>
      </c>
      <c r="S98" s="13">
        <v>166.6374</v>
      </c>
      <c r="T98" s="13" t="str">
        <f>IFERROR(__xludf.DUMMYFUNCTION("IF(Q98=""PASS"", RANK.EQ(R98, FILTER($R$2:$R$142, $Q$2:$Q$142=""PASS""), 1) + COUNTIFS($R$2:$R$142, R98, $S$2:$S$142, ""&lt;""&amp;S98, $Q$2:$Q$142, ""PASS""), """")"),"")</f>
        <v/>
      </c>
      <c r="U98" s="14">
        <f t="shared" si="4"/>
        <v>15</v>
      </c>
      <c r="V98" s="6" t="s">
        <v>29</v>
      </c>
      <c r="W98" s="7">
        <v>1.28625339E8</v>
      </c>
      <c r="X98" s="7">
        <v>129.1762</v>
      </c>
      <c r="Y98" s="7">
        <f>IFERROR(__xludf.DUMMYFUNCTION("IF(V98=""PASS"", RANK.EQ(W98, FILTER($W$2:$W$142, $V$2:$V$142=""PASS""), 1) + COUNTIFS($W$2:$W$142, W98, $X$2:$X$142, ""&lt;""&amp;X98, $V$2:$V$142, ""PASS""), """")"),49.0)</f>
        <v>49</v>
      </c>
      <c r="Z98" s="8">
        <f t="shared" si="5"/>
        <v>17.10843373</v>
      </c>
      <c r="AA98" s="10">
        <f t="shared" si="6"/>
        <v>84.14997928</v>
      </c>
      <c r="AB98" s="11" t="b">
        <v>0</v>
      </c>
      <c r="AC98" s="8">
        <f t="shared" si="8"/>
        <v>84.14997928</v>
      </c>
      <c r="AD98" s="7"/>
    </row>
    <row r="99">
      <c r="A99" s="5">
        <v>3.14510164E8</v>
      </c>
      <c r="B99" s="6" t="s">
        <v>29</v>
      </c>
      <c r="C99" s="7">
        <v>793616.0</v>
      </c>
      <c r="D99" s="7">
        <v>0.3985</v>
      </c>
      <c r="E99" s="7">
        <f>IFERROR(__xludf.DUMMYFUNCTION("IF(B99=""PASS"", RANK.EQ(C99, FILTER($C$2:$C$142, $B$2:$B$142=""PASS""), 1) + COUNTIFS($C$2:$C$142, C99, $D$2:$D$142, ""&lt;""&amp;D99, $B$2:$B$142, ""PASS""), """")"),65.0)</f>
        <v>65</v>
      </c>
      <c r="F99" s="8">
        <f t="shared" si="1"/>
        <v>17.51937984</v>
      </c>
      <c r="G99" s="6" t="s">
        <v>29</v>
      </c>
      <c r="H99" s="7">
        <v>3540857.0</v>
      </c>
      <c r="I99" s="7">
        <v>2.3748</v>
      </c>
      <c r="J99" s="7">
        <f>IFERROR(__xludf.DUMMYFUNCTION("IF(G99=""PASS"", RANK.EQ(H99, FILTER($H$2:$H$142, $G$2:$G$142=""PASS""), 1) + COUNTIFS($H$2:$H$142, H99, $I$2:$I$142, ""&lt;""&amp;I99, $G$2:$G$142, ""PASS""), """")"),53.0)</f>
        <v>53</v>
      </c>
      <c r="K99" s="8">
        <f t="shared" si="2"/>
        <v>17.96875</v>
      </c>
      <c r="L99" s="6" t="s">
        <v>29</v>
      </c>
      <c r="M99" s="7">
        <v>1.5142382E7</v>
      </c>
      <c r="N99" s="7">
        <v>10.3371</v>
      </c>
      <c r="O99" s="7">
        <f>IFERROR(__xludf.DUMMYFUNCTION("IF(L99=""PASS"", RANK.EQ(M99, FILTER($M$2:$M$142, $L$2:$L$142=""PASS""), 1) + COUNTIFS($M$2:$M$142, M99, $N$2:$N$142, ""&lt;""&amp;N99, $L$2:$L$142, ""PASS""), """")"),42.0)</f>
        <v>42</v>
      </c>
      <c r="P99" s="8">
        <f t="shared" si="3"/>
        <v>18.31967213</v>
      </c>
      <c r="Q99" s="6" t="s">
        <v>29</v>
      </c>
      <c r="R99" s="7">
        <v>1.5218347E7</v>
      </c>
      <c r="S99" s="7">
        <v>10.7095</v>
      </c>
      <c r="T99" s="7">
        <f>IFERROR(__xludf.DUMMYFUNCTION("IF(Q99=""PASS"", RANK.EQ(R99, FILTER($R$2:$R$142, $Q$2:$Q$142=""PASS""), 1) + COUNTIFS($R$2:$R$142, R99, $S$2:$S$142, ""&lt;""&amp;S99, $Q$2:$Q$142, ""PASS""), """")"),42.0)</f>
        <v>42</v>
      </c>
      <c r="U99" s="8">
        <f t="shared" si="4"/>
        <v>18.29166667</v>
      </c>
      <c r="V99" s="6" t="s">
        <v>29</v>
      </c>
      <c r="W99" s="7">
        <v>1.31421541E8</v>
      </c>
      <c r="X99" s="7">
        <v>13.1059</v>
      </c>
      <c r="Y99" s="7">
        <f>IFERROR(__xludf.DUMMYFUNCTION("IF(V99=""PASS"", RANK.EQ(W99, FILTER($W$2:$W$142, $V$2:$V$142=""PASS""), 1) + COUNTIFS($W$2:$W$142, W99, $X$2:$X$142, ""&lt;""&amp;X99, $V$2:$V$142, ""PASS""), """")"),67.0)</f>
        <v>67</v>
      </c>
      <c r="Z99" s="8">
        <f t="shared" si="5"/>
        <v>16.02409639</v>
      </c>
      <c r="AA99" s="10">
        <f t="shared" si="6"/>
        <v>88.12356503</v>
      </c>
      <c r="AB99" s="11" t="b">
        <v>0</v>
      </c>
      <c r="AC99" s="8">
        <f t="shared" si="8"/>
        <v>88.12356503</v>
      </c>
      <c r="AD99" s="7"/>
    </row>
    <row r="100">
      <c r="A100" s="5">
        <v>3.14510165E8</v>
      </c>
      <c r="B100" s="6" t="s">
        <v>29</v>
      </c>
      <c r="C100" s="7">
        <v>690313.0</v>
      </c>
      <c r="D100" s="7">
        <v>2.4886</v>
      </c>
      <c r="E100" s="7">
        <f>IFERROR(__xludf.DUMMYFUNCTION("IF(B100=""PASS"", RANK.EQ(C100, FILTER($C$2:$C$142, $B$2:$B$142=""PASS""), 1) + COUNTIFS($C$2:$C$142, C100, $D$2:$D$142, ""&lt;""&amp;D100, $B$2:$B$142, ""PASS""), """")"),34.0)</f>
        <v>34</v>
      </c>
      <c r="F100" s="8">
        <f t="shared" si="1"/>
        <v>18.72093023</v>
      </c>
      <c r="G100" s="6" t="s">
        <v>29</v>
      </c>
      <c r="H100" s="7">
        <v>3021980.0</v>
      </c>
      <c r="I100" s="7">
        <v>82.6931</v>
      </c>
      <c r="J100" s="7">
        <f>IFERROR(__xludf.DUMMYFUNCTION("IF(G100=""PASS"", RANK.EQ(H100, FILTER($H$2:$H$142, $G$2:$G$142=""PASS""), 1) + COUNTIFS($H$2:$H$142, H100, $I$2:$I$142, ""&lt;""&amp;I100, $G$2:$G$142, ""PASS""), """")"),40.0)</f>
        <v>40</v>
      </c>
      <c r="K100" s="8">
        <f t="shared" si="2"/>
        <v>18.4765625</v>
      </c>
      <c r="L100" s="6" t="s">
        <v>29</v>
      </c>
      <c r="M100" s="7">
        <v>1.3012148E7</v>
      </c>
      <c r="N100" s="7">
        <v>145.8728</v>
      </c>
      <c r="O100" s="7">
        <f>IFERROR(__xludf.DUMMYFUNCTION("IF(L100=""PASS"", RANK.EQ(M100, FILTER($M$2:$M$142, $L$2:$L$142=""PASS""), 1) + COUNTIFS($M$2:$M$142, M100, $N$2:$N$142, ""&lt;""&amp;N100, $L$2:$L$142, ""PASS""), """")"),34.0)</f>
        <v>34</v>
      </c>
      <c r="P100" s="8">
        <f t="shared" si="3"/>
        <v>18.64754098</v>
      </c>
      <c r="Q100" s="6" t="s">
        <v>29</v>
      </c>
      <c r="R100" s="7">
        <v>1.3029527E7</v>
      </c>
      <c r="S100" s="7">
        <v>145.9096</v>
      </c>
      <c r="T100" s="7">
        <f>IFERROR(__xludf.DUMMYFUNCTION("IF(Q100=""PASS"", RANK.EQ(R100, FILTER($R$2:$R$142, $Q$2:$Q$142=""PASS""), 1) + COUNTIFS($R$2:$R$142, R100, $S$2:$S$142, ""&lt;""&amp;S100, $Q$2:$Q$142, ""PASS""), """")"),34.0)</f>
        <v>34</v>
      </c>
      <c r="U100" s="8">
        <f t="shared" si="4"/>
        <v>18.625</v>
      </c>
      <c r="V100" s="6" t="s">
        <v>29</v>
      </c>
      <c r="W100" s="7">
        <v>1.28625339E8</v>
      </c>
      <c r="X100" s="7">
        <v>100.6149</v>
      </c>
      <c r="Y100" s="7">
        <f>IFERROR(__xludf.DUMMYFUNCTION("IF(V100=""PASS"", RANK.EQ(W100, FILTER($W$2:$W$142, $V$2:$V$142=""PASS""), 1) + COUNTIFS($W$2:$W$142, W100, $X$2:$X$142, ""&lt;""&amp;X100, $V$2:$V$142, ""PASS""), """")"),44.0)</f>
        <v>44</v>
      </c>
      <c r="Z100" s="8">
        <f t="shared" si="5"/>
        <v>17.40963855</v>
      </c>
      <c r="AA100" s="10">
        <f t="shared" si="6"/>
        <v>91.87967227</v>
      </c>
      <c r="AB100" s="11" t="b">
        <v>0</v>
      </c>
      <c r="AC100" s="8">
        <f t="shared" si="8"/>
        <v>91.87967227</v>
      </c>
      <c r="AD100" s="7"/>
    </row>
    <row r="101">
      <c r="A101" s="5">
        <v>3.14510166E8</v>
      </c>
      <c r="B101" s="6" t="s">
        <v>29</v>
      </c>
      <c r="C101" s="7">
        <v>670292.0</v>
      </c>
      <c r="D101" s="7">
        <v>0.7354</v>
      </c>
      <c r="E101" s="7">
        <f>IFERROR(__xludf.DUMMYFUNCTION("IF(B101=""PASS"", RANK.EQ(C101, FILTER($C$2:$C$142, $B$2:$B$142=""PASS""), 1) + COUNTIFS($C$2:$C$142, C101, $D$2:$D$142, ""&lt;""&amp;D101, $B$2:$B$142, ""PASS""), """")"),23.0)</f>
        <v>23</v>
      </c>
      <c r="F101" s="8">
        <f t="shared" si="1"/>
        <v>19.14728682</v>
      </c>
      <c r="G101" s="6" t="s">
        <v>29</v>
      </c>
      <c r="H101" s="7">
        <v>2892654.0</v>
      </c>
      <c r="I101" s="7">
        <v>3.5136</v>
      </c>
      <c r="J101" s="7">
        <f>IFERROR(__xludf.DUMMYFUNCTION("IF(G101=""PASS"", RANK.EQ(H101, FILTER($H$2:$H$142, $G$2:$G$142=""PASS""), 1) + COUNTIFS($H$2:$H$142, H101, $I$2:$I$142, ""&lt;""&amp;I101, $G$2:$G$142, ""PASS""), """")"),21.0)</f>
        <v>21</v>
      </c>
      <c r="K101" s="8">
        <f t="shared" si="2"/>
        <v>19.21875</v>
      </c>
      <c r="L101" s="6" t="s">
        <v>29</v>
      </c>
      <c r="M101" s="7">
        <v>1.2396517E7</v>
      </c>
      <c r="N101" s="7">
        <v>14.7973</v>
      </c>
      <c r="O101" s="7">
        <f>IFERROR(__xludf.DUMMYFUNCTION("IF(L101=""PASS"", RANK.EQ(M101, FILTER($M$2:$M$142, $L$2:$L$142=""PASS""), 1) + COUNTIFS($M$2:$M$142, M101, $N$2:$N$142, ""&lt;""&amp;N101, $L$2:$L$142, ""PASS""), """")"),14.0)</f>
        <v>14</v>
      </c>
      <c r="P101" s="8">
        <f t="shared" si="3"/>
        <v>19.46721311</v>
      </c>
      <c r="Q101" s="6" t="s">
        <v>29</v>
      </c>
      <c r="R101" s="7">
        <v>1.2378927E7</v>
      </c>
      <c r="S101" s="7">
        <v>15.121</v>
      </c>
      <c r="T101" s="7">
        <f>IFERROR(__xludf.DUMMYFUNCTION("IF(Q101=""PASS"", RANK.EQ(R101, FILTER($R$2:$R$142, $Q$2:$Q$142=""PASS""), 1) + COUNTIFS($R$2:$R$142, R101, $S$2:$S$142, ""&lt;""&amp;S101, $Q$2:$Q$142, ""PASS""), """")"),14.0)</f>
        <v>14</v>
      </c>
      <c r="U101" s="8">
        <f t="shared" si="4"/>
        <v>19.45833333</v>
      </c>
      <c r="V101" s="6" t="s">
        <v>29</v>
      </c>
      <c r="W101" s="7">
        <v>1.28625339E8</v>
      </c>
      <c r="X101" s="7">
        <v>84.1136</v>
      </c>
      <c r="Y101" s="7">
        <f>IFERROR(__xludf.DUMMYFUNCTION("IF(V101=""PASS"", RANK.EQ(W101, FILTER($W$2:$W$142, $V$2:$V$142=""PASS""), 1) + COUNTIFS($W$2:$W$142, W101, $X$2:$X$142, ""&lt;""&amp;X101, $V$2:$V$142, ""PASS""), """")"),40.0)</f>
        <v>40</v>
      </c>
      <c r="Z101" s="8">
        <f t="shared" si="5"/>
        <v>17.65060241</v>
      </c>
      <c r="AA101" s="10">
        <f t="shared" si="6"/>
        <v>94.94218568</v>
      </c>
      <c r="AB101" s="11" t="b">
        <v>0</v>
      </c>
      <c r="AC101" s="8">
        <f t="shared" si="8"/>
        <v>94.94218568</v>
      </c>
      <c r="AD101" s="7"/>
    </row>
    <row r="102">
      <c r="A102" s="5">
        <v>3.14510167E8</v>
      </c>
      <c r="B102" s="6" t="s">
        <v>29</v>
      </c>
      <c r="C102" s="7">
        <v>1048819.0</v>
      </c>
      <c r="D102" s="7">
        <v>22.4846</v>
      </c>
      <c r="E102" s="7">
        <f>IFERROR(__xludf.DUMMYFUNCTION("IF(B102=""PASS"", RANK.EQ(C102, FILTER($C$2:$C$142, $B$2:$B$142=""PASS""), 1) + COUNTIFS($C$2:$C$142, C102, $D$2:$D$142, ""&lt;""&amp;D102, $B$2:$B$142, ""PASS""), """")"),100.0)</f>
        <v>100</v>
      </c>
      <c r="F102" s="8">
        <f t="shared" si="1"/>
        <v>16.1627907</v>
      </c>
      <c r="G102" s="6" t="s">
        <v>29</v>
      </c>
      <c r="H102" s="7">
        <v>6983796.0</v>
      </c>
      <c r="I102" s="7">
        <v>170.2278</v>
      </c>
      <c r="J102" s="7">
        <f>IFERROR(__xludf.DUMMYFUNCTION("IF(G102=""PASS"", RANK.EQ(H102, FILTER($H$2:$H$142, $G$2:$G$142=""PASS""), 1) + COUNTIFS($H$2:$H$142, H102, $I$2:$I$142, ""&lt;""&amp;I102, $G$2:$G$142, ""PASS""), """")"),106.0)</f>
        <v>106</v>
      </c>
      <c r="K102" s="8">
        <f t="shared" si="2"/>
        <v>15.8984375</v>
      </c>
      <c r="L102" s="6" t="s">
        <v>29</v>
      </c>
      <c r="M102" s="7">
        <v>3.5742447E7</v>
      </c>
      <c r="N102" s="7">
        <v>171.1093</v>
      </c>
      <c r="O102" s="7">
        <f>IFERROR(__xludf.DUMMYFUNCTION("IF(L102=""PASS"", RANK.EQ(M102, FILTER($M$2:$M$142, $L$2:$L$142=""PASS""), 1) + COUNTIFS($M$2:$M$142, M102, $N$2:$N$142, ""&lt;""&amp;N102, $L$2:$L$142, ""PASS""), """")"),100.0)</f>
        <v>100</v>
      </c>
      <c r="P102" s="8">
        <f t="shared" si="3"/>
        <v>15.94262295</v>
      </c>
      <c r="Q102" s="6" t="s">
        <v>29</v>
      </c>
      <c r="R102" s="7">
        <v>3.693758E7</v>
      </c>
      <c r="S102" s="7">
        <v>171.1392</v>
      </c>
      <c r="T102" s="7">
        <f>IFERROR(__xludf.DUMMYFUNCTION("IF(Q102=""PASS"", RANK.EQ(R102, FILTER($R$2:$R$142, $Q$2:$Q$142=""PASS""), 1) + COUNTIFS($R$2:$R$142, R102, $S$2:$S$142, ""&lt;""&amp;S102, $Q$2:$Q$142, ""PASS""), """")"),99.0)</f>
        <v>99</v>
      </c>
      <c r="U102" s="8">
        <f t="shared" si="4"/>
        <v>15.91666667</v>
      </c>
      <c r="V102" s="12" t="s">
        <v>31</v>
      </c>
      <c r="W102" s="13">
        <v>1.34182107E8</v>
      </c>
      <c r="X102" s="13">
        <v>154.3313</v>
      </c>
      <c r="Y102" s="13" t="str">
        <f>IFERROR(__xludf.DUMMYFUNCTION("IF(V102=""PASS"", RANK.EQ(W102, FILTER($W$2:$W$142, $V$2:$V$142=""PASS""), 1) + COUNTIFS($W$2:$W$142, W102, $X$2:$X$142, ""&lt;""&amp;X102, $V$2:$V$142, ""PASS""), """")"),"")</f>
        <v/>
      </c>
      <c r="Z102" s="14">
        <f t="shared" si="5"/>
        <v>15</v>
      </c>
      <c r="AA102" s="10">
        <f t="shared" si="6"/>
        <v>78.92051782</v>
      </c>
      <c r="AB102" s="11" t="b">
        <v>0</v>
      </c>
      <c r="AC102" s="8">
        <f t="shared" si="8"/>
        <v>78.92051782</v>
      </c>
      <c r="AD102" s="7"/>
    </row>
    <row r="103">
      <c r="A103" s="5">
        <v>3.14510169E8</v>
      </c>
      <c r="B103" s="6" t="s">
        <v>29</v>
      </c>
      <c r="C103" s="7">
        <v>676224.0</v>
      </c>
      <c r="D103" s="7">
        <v>0.7634</v>
      </c>
      <c r="E103" s="7">
        <f>IFERROR(__xludf.DUMMYFUNCTION("IF(B103=""PASS"", RANK.EQ(C103, FILTER($C$2:$C$142, $B$2:$B$142=""PASS""), 1) + COUNTIFS($C$2:$C$142, C103, $D$2:$D$142, ""&lt;""&amp;D103, $B$2:$B$142, ""PASS""), """")"),26.0)</f>
        <v>26</v>
      </c>
      <c r="F103" s="8">
        <f t="shared" si="1"/>
        <v>19.03100775</v>
      </c>
      <c r="G103" s="6" t="s">
        <v>29</v>
      </c>
      <c r="H103" s="7">
        <v>2910812.0</v>
      </c>
      <c r="I103" s="7">
        <v>4.2676</v>
      </c>
      <c r="J103" s="7">
        <f>IFERROR(__xludf.DUMMYFUNCTION("IF(G103=""PASS"", RANK.EQ(H103, FILTER($H$2:$H$142, $G$2:$G$142=""PASS""), 1) + COUNTIFS($H$2:$H$142, H103, $I$2:$I$142, ""&lt;""&amp;I103, $G$2:$G$142, ""PASS""), """")"),23.0)</f>
        <v>23</v>
      </c>
      <c r="K103" s="8">
        <f t="shared" si="2"/>
        <v>19.140625</v>
      </c>
      <c r="L103" s="6" t="s">
        <v>29</v>
      </c>
      <c r="M103" s="7">
        <v>1.2481756E7</v>
      </c>
      <c r="N103" s="7">
        <v>17.79</v>
      </c>
      <c r="O103" s="7">
        <f>IFERROR(__xludf.DUMMYFUNCTION("IF(L103=""PASS"", RANK.EQ(M103, FILTER($M$2:$M$142, $L$2:$L$142=""PASS""), 1) + COUNTIFS($M$2:$M$142, M103, $N$2:$N$142, ""&lt;""&amp;N103, $L$2:$L$142, ""PASS""), """")"),17.0)</f>
        <v>17</v>
      </c>
      <c r="P103" s="8">
        <f t="shared" si="3"/>
        <v>19.3442623</v>
      </c>
      <c r="Q103" s="6" t="s">
        <v>29</v>
      </c>
      <c r="R103" s="7">
        <v>1.2462412E7</v>
      </c>
      <c r="S103" s="7">
        <v>18.5669</v>
      </c>
      <c r="T103" s="7">
        <f>IFERROR(__xludf.DUMMYFUNCTION("IF(Q103=""PASS"", RANK.EQ(R103, FILTER($R$2:$R$142, $Q$2:$Q$142=""PASS""), 1) + COUNTIFS($R$2:$R$142, R103, $S$2:$S$142, ""&lt;""&amp;S103, $Q$2:$Q$142, ""PASS""), """")"),17.0)</f>
        <v>17</v>
      </c>
      <c r="U103" s="8">
        <f t="shared" si="4"/>
        <v>19.33333333</v>
      </c>
      <c r="V103" s="6" t="s">
        <v>29</v>
      </c>
      <c r="W103" s="7">
        <v>1.28625339E8</v>
      </c>
      <c r="X103" s="7">
        <v>55.0396</v>
      </c>
      <c r="Y103" s="7">
        <f>IFERROR(__xludf.DUMMYFUNCTION("IF(V103=""PASS"", RANK.EQ(W103, FILTER($W$2:$W$142, $V$2:$V$142=""PASS""), 1) + COUNTIFS($W$2:$W$142, W103, $X$2:$X$142, ""&lt;""&amp;X103, $V$2:$V$142, ""PASS""), """")"),33.0)</f>
        <v>33</v>
      </c>
      <c r="Z103" s="8">
        <f t="shared" si="5"/>
        <v>18.07228916</v>
      </c>
      <c r="AA103" s="10">
        <f t="shared" si="6"/>
        <v>94.92151754</v>
      </c>
      <c r="AB103" s="11" t="b">
        <v>0</v>
      </c>
      <c r="AC103" s="8">
        <f t="shared" si="8"/>
        <v>94.92151754</v>
      </c>
      <c r="AD103" s="7"/>
    </row>
    <row r="104">
      <c r="A104" s="5">
        <v>3.14510171E8</v>
      </c>
      <c r="B104" s="6" t="s">
        <v>29</v>
      </c>
      <c r="C104" s="7">
        <v>983253.0</v>
      </c>
      <c r="D104" s="7">
        <v>2.2433</v>
      </c>
      <c r="E104" s="7">
        <f>IFERROR(__xludf.DUMMYFUNCTION("IF(B104=""PASS"", RANK.EQ(C104, FILTER($C$2:$C$142, $B$2:$B$142=""PASS""), 1) + COUNTIFS($C$2:$C$142, C104, $D$2:$D$142, ""&lt;""&amp;D104, $B$2:$B$142, ""PASS""), """")"),85.0)</f>
        <v>85</v>
      </c>
      <c r="F104" s="8">
        <f t="shared" si="1"/>
        <v>16.74418605</v>
      </c>
      <c r="G104" s="6" t="s">
        <v>29</v>
      </c>
      <c r="H104" s="7">
        <v>4826241.0</v>
      </c>
      <c r="I104" s="7">
        <v>15.8326</v>
      </c>
      <c r="J104" s="7">
        <f>IFERROR(__xludf.DUMMYFUNCTION("IF(G104=""PASS"", RANK.EQ(H104, FILTER($H$2:$H$142, $G$2:$G$142=""PASS""), 1) + COUNTIFS($H$2:$H$142, H104, $I$2:$I$142, ""&lt;""&amp;I104, $G$2:$G$142, ""PASS""), """")"),79.0)</f>
        <v>79</v>
      </c>
      <c r="K104" s="8">
        <f t="shared" si="2"/>
        <v>16.953125</v>
      </c>
      <c r="L104" s="6" t="s">
        <v>29</v>
      </c>
      <c r="M104" s="7">
        <v>2.0622185E7</v>
      </c>
      <c r="N104" s="7">
        <v>82.2045</v>
      </c>
      <c r="O104" s="7">
        <f>IFERROR(__xludf.DUMMYFUNCTION("IF(L104=""PASS"", RANK.EQ(M104, FILTER($M$2:$M$142, $L$2:$L$142=""PASS""), 1) + COUNTIFS($M$2:$M$142, M104, $N$2:$N$142, ""&lt;""&amp;N104, $L$2:$L$142, ""PASS""), """")"),71.0)</f>
        <v>71</v>
      </c>
      <c r="P104" s="8">
        <f t="shared" si="3"/>
        <v>17.13114754</v>
      </c>
      <c r="Q104" s="6" t="s">
        <v>29</v>
      </c>
      <c r="R104" s="7">
        <v>2.1124163E7</v>
      </c>
      <c r="S104" s="7">
        <v>84.022</v>
      </c>
      <c r="T104" s="7">
        <f>IFERROR(__xludf.DUMMYFUNCTION("IF(Q104=""PASS"", RANK.EQ(R104, FILTER($R$2:$R$142, $Q$2:$Q$142=""PASS""), 1) + COUNTIFS($R$2:$R$142, R104, $S$2:$S$142, ""&lt;""&amp;S104, $Q$2:$Q$142, ""PASS""), """")"),71.0)</f>
        <v>71</v>
      </c>
      <c r="U104" s="8">
        <f t="shared" si="4"/>
        <v>17.08333333</v>
      </c>
      <c r="V104" s="12" t="s">
        <v>31</v>
      </c>
      <c r="W104" s="13">
        <v>1.29763269E8</v>
      </c>
      <c r="X104" s="13">
        <v>24.5194</v>
      </c>
      <c r="Y104" s="13" t="str">
        <f>IFERROR(__xludf.DUMMYFUNCTION("IF(V104=""PASS"", RANK.EQ(W104, FILTER($W$2:$W$142, $V$2:$V$142=""PASS""), 1) + COUNTIFS($W$2:$W$142, W104, $X$2:$X$142, ""&lt;""&amp;X104, $V$2:$V$142, ""PASS""), """")"),"")</f>
        <v/>
      </c>
      <c r="Z104" s="14">
        <f t="shared" si="5"/>
        <v>15</v>
      </c>
      <c r="AA104" s="10">
        <f t="shared" si="6"/>
        <v>82.91179192</v>
      </c>
      <c r="AB104" s="11" t="b">
        <v>0</v>
      </c>
      <c r="AC104" s="8">
        <f t="shared" si="8"/>
        <v>82.91179192</v>
      </c>
      <c r="AD104" s="7"/>
    </row>
    <row r="105">
      <c r="A105" s="5">
        <v>3.14510174E8</v>
      </c>
      <c r="B105" s="6" t="s">
        <v>29</v>
      </c>
      <c r="C105" s="7">
        <v>739264.0</v>
      </c>
      <c r="D105" s="7">
        <v>0.1929</v>
      </c>
      <c r="E105" s="7">
        <f>IFERROR(__xludf.DUMMYFUNCTION("IF(B105=""PASS"", RANK.EQ(C105, FILTER($C$2:$C$142, $B$2:$B$142=""PASS""), 1) + COUNTIFS($C$2:$C$142, C105, $D$2:$D$142, ""&lt;""&amp;D105, $B$2:$B$142, ""PASS""), """")"),49.0)</f>
        <v>49</v>
      </c>
      <c r="F105" s="8">
        <f t="shared" si="1"/>
        <v>18.13953488</v>
      </c>
      <c r="G105" s="6" t="s">
        <v>29</v>
      </c>
      <c r="H105" s="7">
        <v>3623075.0</v>
      </c>
      <c r="I105" s="7">
        <v>0.8638</v>
      </c>
      <c r="J105" s="7">
        <f>IFERROR(__xludf.DUMMYFUNCTION("IF(G105=""PASS"", RANK.EQ(H105, FILTER($H$2:$H$142, $G$2:$G$142=""PASS""), 1) + COUNTIFS($H$2:$H$142, H105, $I$2:$I$142, ""&lt;""&amp;I105, $G$2:$G$142, ""PASS""), """")"),64.0)</f>
        <v>64</v>
      </c>
      <c r="K105" s="8">
        <f t="shared" si="2"/>
        <v>17.5390625</v>
      </c>
      <c r="L105" s="6" t="s">
        <v>29</v>
      </c>
      <c r="M105" s="7">
        <v>1.5512263E7</v>
      </c>
      <c r="N105" s="7">
        <v>3.7766</v>
      </c>
      <c r="O105" s="7">
        <f>IFERROR(__xludf.DUMMYFUNCTION("IF(L105=""PASS"", RANK.EQ(M105, FILTER($M$2:$M$142, $L$2:$L$142=""PASS""), 1) + COUNTIFS($M$2:$M$142, M105, $N$2:$N$142, ""&lt;""&amp;N105, $L$2:$L$142, ""PASS""), """")"),54.0)</f>
        <v>54</v>
      </c>
      <c r="P105" s="8">
        <f t="shared" si="3"/>
        <v>17.82786885</v>
      </c>
      <c r="Q105" s="6" t="s">
        <v>29</v>
      </c>
      <c r="R105" s="7">
        <v>1.5918376E7</v>
      </c>
      <c r="S105" s="7">
        <v>3.7823</v>
      </c>
      <c r="T105" s="7">
        <f>IFERROR(__xludf.DUMMYFUNCTION("IF(Q105=""PASS"", RANK.EQ(R105, FILTER($R$2:$R$142, $Q$2:$Q$142=""PASS""), 1) + COUNTIFS($R$2:$R$142, R105, $S$2:$S$142, ""&lt;""&amp;S105, $Q$2:$Q$142, ""PASS""), """")"),54.0)</f>
        <v>54</v>
      </c>
      <c r="U105" s="8">
        <f t="shared" si="4"/>
        <v>17.79166667</v>
      </c>
      <c r="V105" s="6" t="s">
        <v>29</v>
      </c>
      <c r="W105" s="7">
        <v>1.28625339E8</v>
      </c>
      <c r="X105" s="7">
        <v>27.5887</v>
      </c>
      <c r="Y105" s="7">
        <f>IFERROR(__xludf.DUMMYFUNCTION("IF(V105=""PASS"", RANK.EQ(W105, FILTER($W$2:$W$142, $V$2:$V$142=""PASS""), 1) + COUNTIFS($W$2:$W$142, W105, $X$2:$X$142, ""&lt;""&amp;X105, $V$2:$V$142, ""PASS""), """")"),21.0)</f>
        <v>21</v>
      </c>
      <c r="Z105" s="8">
        <f t="shared" si="5"/>
        <v>18.79518072</v>
      </c>
      <c r="AA105" s="10">
        <f t="shared" si="6"/>
        <v>90.09331363</v>
      </c>
      <c r="AB105" s="11" t="b">
        <v>0</v>
      </c>
      <c r="AC105" s="8">
        <f t="shared" si="8"/>
        <v>90.09331363</v>
      </c>
      <c r="AD105" s="7"/>
    </row>
    <row r="106">
      <c r="A106" s="5">
        <v>3.14510175E8</v>
      </c>
      <c r="B106" s="6" t="s">
        <v>29</v>
      </c>
      <c r="C106" s="7">
        <v>937330.0</v>
      </c>
      <c r="D106" s="7">
        <v>0.9343</v>
      </c>
      <c r="E106" s="7">
        <f>IFERROR(__xludf.DUMMYFUNCTION("IF(B106=""PASS"", RANK.EQ(C106, FILTER($C$2:$C$142, $B$2:$B$142=""PASS""), 1) + COUNTIFS($C$2:$C$142, C106, $D$2:$D$142, ""&lt;""&amp;D106, $B$2:$B$142, ""PASS""), """")"),79.0)</f>
        <v>79</v>
      </c>
      <c r="F106" s="8">
        <f t="shared" si="1"/>
        <v>16.97674419</v>
      </c>
      <c r="G106" s="6" t="s">
        <v>29</v>
      </c>
      <c r="H106" s="7">
        <v>4420337.0</v>
      </c>
      <c r="I106" s="7">
        <v>5.6133</v>
      </c>
      <c r="J106" s="7">
        <f>IFERROR(__xludf.DUMMYFUNCTION("IF(G106=""PASS"", RANK.EQ(H106, FILTER($H$2:$H$142, $G$2:$G$142=""PASS""), 1) + COUNTIFS($H$2:$H$142, H106, $I$2:$I$142, ""&lt;""&amp;I106, $G$2:$G$142, ""PASS""), """")"),74.0)</f>
        <v>74</v>
      </c>
      <c r="K106" s="8">
        <f t="shared" si="2"/>
        <v>17.1484375</v>
      </c>
      <c r="L106" s="6" t="s">
        <v>29</v>
      </c>
      <c r="M106" s="7">
        <v>1.9199472E7</v>
      </c>
      <c r="N106" s="7">
        <v>24.2009</v>
      </c>
      <c r="O106" s="7">
        <f>IFERROR(__xludf.DUMMYFUNCTION("IF(L106=""PASS"", RANK.EQ(M106, FILTER($M$2:$M$142, $L$2:$L$142=""PASS""), 1) + COUNTIFS($M$2:$M$142, M106, $N$2:$N$142, ""&lt;""&amp;N106, $L$2:$L$142, ""PASS""), """")"),68.0)</f>
        <v>68</v>
      </c>
      <c r="P106" s="8">
        <f t="shared" si="3"/>
        <v>17.25409836</v>
      </c>
      <c r="Q106" s="6" t="s">
        <v>29</v>
      </c>
      <c r="R106" s="7">
        <v>1.9427479E7</v>
      </c>
      <c r="S106" s="7">
        <v>25.5381</v>
      </c>
      <c r="T106" s="7">
        <f>IFERROR(__xludf.DUMMYFUNCTION("IF(Q106=""PASS"", RANK.EQ(R106, FILTER($R$2:$R$142, $Q$2:$Q$142=""PASS""), 1) + COUNTIFS($R$2:$R$142, R106, $S$2:$S$142, ""&lt;""&amp;S106, $Q$2:$Q$142, ""PASS""), """")"),66.0)</f>
        <v>66</v>
      </c>
      <c r="U106" s="8">
        <f t="shared" si="4"/>
        <v>17.29166667</v>
      </c>
      <c r="V106" s="12" t="s">
        <v>31</v>
      </c>
      <c r="W106" s="13">
        <v>1.28625339E8</v>
      </c>
      <c r="X106" s="13">
        <v>64.5494</v>
      </c>
      <c r="Y106" s="13" t="str">
        <f>IFERROR(__xludf.DUMMYFUNCTION("IF(V106=""PASS"", RANK.EQ(W106, FILTER($W$2:$W$142, $V$2:$V$142=""PASS""), 1) + COUNTIFS($W$2:$W$142, W106, $X$2:$X$142, ""&lt;""&amp;X106, $V$2:$V$142, ""PASS""), """")"),"")</f>
        <v/>
      </c>
      <c r="Z106" s="14">
        <f t="shared" si="5"/>
        <v>15</v>
      </c>
      <c r="AA106" s="10">
        <f t="shared" si="6"/>
        <v>83.67094671</v>
      </c>
      <c r="AB106" s="11" t="b">
        <v>0</v>
      </c>
      <c r="AC106" s="8">
        <f t="shared" si="8"/>
        <v>83.67094671</v>
      </c>
      <c r="AD106" s="7"/>
    </row>
    <row r="107">
      <c r="A107" s="5">
        <v>3.14510193E8</v>
      </c>
      <c r="B107" s="12" t="s">
        <v>31</v>
      </c>
      <c r="C107" s="13">
        <v>1651011.0</v>
      </c>
      <c r="D107" s="13">
        <v>150.3688</v>
      </c>
      <c r="E107" s="13" t="str">
        <f>IFERROR(__xludf.DUMMYFUNCTION("IF(B107=""PASS"", RANK.EQ(C107, FILTER($C$2:$C$142, $B$2:$B$142=""PASS""), 1) + COUNTIFS($C$2:$C$142, C107, $D$2:$D$142, ""&lt;""&amp;D107, $B$2:$B$142, ""PASS""), """")"),"")</f>
        <v/>
      </c>
      <c r="F107" s="14">
        <f t="shared" si="1"/>
        <v>15</v>
      </c>
      <c r="G107" s="12" t="s">
        <v>31</v>
      </c>
      <c r="H107" s="13">
        <v>8770727.0</v>
      </c>
      <c r="I107" s="13">
        <v>150.4952</v>
      </c>
      <c r="J107" s="13" t="str">
        <f>IFERROR(__xludf.DUMMYFUNCTION("IF(G107=""PASS"", RANK.EQ(H107, FILTER($H$2:$H$142, $G$2:$G$142=""PASS""), 1) + COUNTIFS($H$2:$H$142, H107, $I$2:$I$142, ""&lt;""&amp;I107, $G$2:$G$142, ""PASS""), """")"),"")</f>
        <v/>
      </c>
      <c r="K107" s="14">
        <f t="shared" si="2"/>
        <v>15</v>
      </c>
      <c r="L107" s="12" t="s">
        <v>31</v>
      </c>
      <c r="M107" s="13">
        <v>3.7439997E7</v>
      </c>
      <c r="N107" s="13">
        <v>151.0261</v>
      </c>
      <c r="O107" s="13" t="str">
        <f>IFERROR(__xludf.DUMMYFUNCTION("IF(L107=""PASS"", RANK.EQ(M107, FILTER($M$2:$M$142, $L$2:$L$142=""PASS""), 1) + COUNTIFS($M$2:$M$142, M107, $N$2:$N$142, ""&lt;""&amp;N107, $L$2:$L$142, ""PASS""), """")"),"")</f>
        <v/>
      </c>
      <c r="P107" s="14">
        <f t="shared" si="3"/>
        <v>15</v>
      </c>
      <c r="Q107" s="12" t="s">
        <v>31</v>
      </c>
      <c r="R107" s="13">
        <v>3.8662584E7</v>
      </c>
      <c r="S107" s="13">
        <v>151.0689</v>
      </c>
      <c r="T107" s="13" t="str">
        <f>IFERROR(__xludf.DUMMYFUNCTION("IF(Q107=""PASS"", RANK.EQ(R107, FILTER($R$2:$R$142, $Q$2:$Q$142=""PASS""), 1) + COUNTIFS($R$2:$R$142, R107, $S$2:$S$142, ""&lt;""&amp;S107, $Q$2:$Q$142, ""PASS""), """")"),"")</f>
        <v/>
      </c>
      <c r="U107" s="14">
        <f t="shared" si="4"/>
        <v>15</v>
      </c>
      <c r="V107" s="6" t="s">
        <v>30</v>
      </c>
      <c r="W107" s="9"/>
      <c r="X107" s="7">
        <v>180.104</v>
      </c>
      <c r="Y107" s="7" t="str">
        <f>IFERROR(__xludf.DUMMYFUNCTION("IF(V107=""PASS"", RANK.EQ(W107, FILTER($W$2:$W$142, $V$2:$V$142=""PASS""), 1) + COUNTIFS($W$2:$W$142, W107, $X$2:$X$142, ""&lt;""&amp;X107, $V$2:$V$142, ""PASS""), """")"),"")</f>
        <v/>
      </c>
      <c r="Z107" s="8">
        <f t="shared" si="5"/>
        <v>0</v>
      </c>
      <c r="AA107" s="10">
        <f t="shared" si="6"/>
        <v>60</v>
      </c>
      <c r="AB107" s="11" t="b">
        <v>0</v>
      </c>
      <c r="AC107" s="8">
        <f t="shared" si="8"/>
        <v>60</v>
      </c>
      <c r="AD107" s="7"/>
    </row>
    <row r="108">
      <c r="A108" s="5">
        <v>3.14510194E8</v>
      </c>
      <c r="B108" s="6" t="s">
        <v>29</v>
      </c>
      <c r="C108" s="7">
        <v>691375.0</v>
      </c>
      <c r="D108" s="7">
        <v>1.2069</v>
      </c>
      <c r="E108" s="7">
        <f>IFERROR(__xludf.DUMMYFUNCTION("IF(B108=""PASS"", RANK.EQ(C108, FILTER($C$2:$C$142, $B$2:$B$142=""PASS""), 1) + COUNTIFS($C$2:$C$142, C108, $D$2:$D$142, ""&lt;""&amp;D108, $B$2:$B$142, ""PASS""), """")"),38.0)</f>
        <v>38</v>
      </c>
      <c r="F108" s="8">
        <f t="shared" si="1"/>
        <v>18.56589147</v>
      </c>
      <c r="G108" s="6" t="s">
        <v>29</v>
      </c>
      <c r="H108" s="7">
        <v>3018566.0</v>
      </c>
      <c r="I108" s="7">
        <v>7.9082</v>
      </c>
      <c r="J108" s="7">
        <f>IFERROR(__xludf.DUMMYFUNCTION("IF(G108=""PASS"", RANK.EQ(H108, FILTER($H$2:$H$142, $G$2:$G$142=""PASS""), 1) + COUNTIFS($H$2:$H$142, H108, $I$2:$I$142, ""&lt;""&amp;I108, $G$2:$G$142, ""PASS""), """")"),32.0)</f>
        <v>32</v>
      </c>
      <c r="K108" s="8">
        <f t="shared" si="2"/>
        <v>18.7890625</v>
      </c>
      <c r="L108" s="6" t="s">
        <v>29</v>
      </c>
      <c r="M108" s="7">
        <v>1.296704E7</v>
      </c>
      <c r="N108" s="7">
        <v>43.5697</v>
      </c>
      <c r="O108" s="7">
        <f>IFERROR(__xludf.DUMMYFUNCTION("IF(L108=""PASS"", RANK.EQ(M108, FILTER($M$2:$M$142, $L$2:$L$142=""PASS""), 1) + COUNTIFS($M$2:$M$142, M108, $N$2:$N$142, ""&lt;""&amp;N108, $L$2:$L$142, ""PASS""), """")"),26.0)</f>
        <v>26</v>
      </c>
      <c r="P108" s="8">
        <f t="shared" si="3"/>
        <v>18.97540984</v>
      </c>
      <c r="Q108" s="6" t="s">
        <v>29</v>
      </c>
      <c r="R108" s="7">
        <v>1.2978544E7</v>
      </c>
      <c r="S108" s="7">
        <v>45.7026</v>
      </c>
      <c r="T108" s="7">
        <f>IFERROR(__xludf.DUMMYFUNCTION("IF(Q108=""PASS"", RANK.EQ(R108, FILTER($R$2:$R$142, $Q$2:$Q$142=""PASS""), 1) + COUNTIFS($R$2:$R$142, R108, $S$2:$S$142, ""&lt;""&amp;S108, $Q$2:$Q$142, ""PASS""), """")"),27.0)</f>
        <v>27</v>
      </c>
      <c r="U108" s="8">
        <f t="shared" si="4"/>
        <v>18.91666667</v>
      </c>
      <c r="V108" s="12" t="s">
        <v>31</v>
      </c>
      <c r="W108" s="13">
        <v>1.28625339E8</v>
      </c>
      <c r="X108" s="13">
        <v>132.1605</v>
      </c>
      <c r="Y108" s="13" t="str">
        <f>IFERROR(__xludf.DUMMYFUNCTION("IF(V108=""PASS"", RANK.EQ(W108, FILTER($W$2:$W$142, $V$2:$V$142=""PASS""), 1) + COUNTIFS($W$2:$W$142, W108, $X$2:$X$142, ""&lt;""&amp;X108, $V$2:$V$142, ""PASS""), """")"),"")</f>
        <v/>
      </c>
      <c r="Z108" s="14">
        <f t="shared" si="5"/>
        <v>15</v>
      </c>
      <c r="AA108" s="10">
        <f t="shared" si="6"/>
        <v>90.24703048</v>
      </c>
      <c r="AB108" s="11" t="b">
        <v>0</v>
      </c>
      <c r="AC108" s="8">
        <f t="shared" si="8"/>
        <v>90.24703048</v>
      </c>
      <c r="AD108" s="7"/>
    </row>
    <row r="109">
      <c r="A109" s="5">
        <v>3.14510196E8</v>
      </c>
      <c r="B109" s="6" t="s">
        <v>29</v>
      </c>
      <c r="C109" s="7">
        <v>767736.0</v>
      </c>
      <c r="D109" s="7">
        <v>1.4618</v>
      </c>
      <c r="E109" s="7">
        <f>IFERROR(__xludf.DUMMYFUNCTION("IF(B109=""PASS"", RANK.EQ(C109, FILTER($C$2:$C$142, $B$2:$B$142=""PASS""), 1) + COUNTIFS($C$2:$C$142, C109, $D$2:$D$142, ""&lt;""&amp;D109, $B$2:$B$142, ""PASS""), """")"),53.0)</f>
        <v>53</v>
      </c>
      <c r="F109" s="8">
        <f t="shared" si="1"/>
        <v>17.98449612</v>
      </c>
      <c r="G109" s="6" t="s">
        <v>29</v>
      </c>
      <c r="H109" s="7">
        <v>3430447.0</v>
      </c>
      <c r="I109" s="7">
        <v>10.1651</v>
      </c>
      <c r="J109" s="7">
        <f>IFERROR(__xludf.DUMMYFUNCTION("IF(G109=""PASS"", RANK.EQ(H109, FILTER($H$2:$H$142, $G$2:$G$142=""PASS""), 1) + COUNTIFS($H$2:$H$142, H109, $I$2:$I$142, ""&lt;""&amp;I109, $G$2:$G$142, ""PASS""), """")"),50.0)</f>
        <v>50</v>
      </c>
      <c r="K109" s="8">
        <f t="shared" si="2"/>
        <v>18.0859375</v>
      </c>
      <c r="L109" s="6" t="s">
        <v>29</v>
      </c>
      <c r="M109" s="7">
        <v>1.4665991E7</v>
      </c>
      <c r="N109" s="7">
        <v>47.9395</v>
      </c>
      <c r="O109" s="7">
        <f>IFERROR(__xludf.DUMMYFUNCTION("IF(L109=""PASS"", RANK.EQ(M109, FILTER($M$2:$M$142, $L$2:$L$142=""PASS""), 1) + COUNTIFS($M$2:$M$142, M109, $N$2:$N$142, ""&lt;""&amp;N109, $L$2:$L$142, ""PASS""), """")"),41.0)</f>
        <v>41</v>
      </c>
      <c r="P109" s="8">
        <f t="shared" si="3"/>
        <v>18.36065574</v>
      </c>
      <c r="Q109" s="6" t="s">
        <v>29</v>
      </c>
      <c r="R109" s="7">
        <v>1.4706433E7</v>
      </c>
      <c r="S109" s="7">
        <v>51.9419</v>
      </c>
      <c r="T109" s="7">
        <f>IFERROR(__xludf.DUMMYFUNCTION("IF(Q109=""PASS"", RANK.EQ(R109, FILTER($R$2:$R$142, $Q$2:$Q$142=""PASS""), 1) + COUNTIFS($R$2:$R$142, R109, $S$2:$S$142, ""&lt;""&amp;S109, $Q$2:$Q$142, ""PASS""), """")"),41.0)</f>
        <v>41</v>
      </c>
      <c r="U109" s="8">
        <f t="shared" si="4"/>
        <v>18.33333333</v>
      </c>
      <c r="V109" s="6" t="s">
        <v>29</v>
      </c>
      <c r="W109" s="7">
        <v>1.31421528E8</v>
      </c>
      <c r="X109" s="7">
        <v>131.7718</v>
      </c>
      <c r="Y109" s="7">
        <f>IFERROR(__xludf.DUMMYFUNCTION("IF(V109=""PASS"", RANK.EQ(W109, FILTER($W$2:$W$142, $V$2:$V$142=""PASS""), 1) + COUNTIFS($W$2:$W$142, W109, $X$2:$X$142, ""&lt;""&amp;X109, $V$2:$V$142, ""PASS""), """")"),66.0)</f>
        <v>66</v>
      </c>
      <c r="Z109" s="8">
        <f t="shared" si="5"/>
        <v>16.08433735</v>
      </c>
      <c r="AA109" s="10">
        <f t="shared" si="6"/>
        <v>88.84876004</v>
      </c>
      <c r="AB109" s="11" t="b">
        <v>0</v>
      </c>
      <c r="AC109" s="8">
        <f t="shared" si="8"/>
        <v>88.84876004</v>
      </c>
      <c r="AD109" s="7"/>
    </row>
    <row r="110">
      <c r="A110" s="5">
        <v>3.14510202E8</v>
      </c>
      <c r="B110" s="12" t="s">
        <v>31</v>
      </c>
      <c r="C110" s="13">
        <v>1306254.0</v>
      </c>
      <c r="D110" s="13">
        <v>0.8852</v>
      </c>
      <c r="E110" s="13" t="str">
        <f>IFERROR(__xludf.DUMMYFUNCTION("IF(B110=""PASS"", RANK.EQ(C110, FILTER($C$2:$C$142, $B$2:$B$142=""PASS""), 1) + COUNTIFS($C$2:$C$142, C110, $D$2:$D$142, ""&lt;""&amp;D110, $B$2:$B$142, ""PASS""), """")"),"")</f>
        <v/>
      </c>
      <c r="F110" s="14">
        <f t="shared" si="1"/>
        <v>15</v>
      </c>
      <c r="G110" s="12" t="s">
        <v>31</v>
      </c>
      <c r="H110" s="13">
        <v>6788308.0</v>
      </c>
      <c r="I110" s="13">
        <v>6.0484</v>
      </c>
      <c r="J110" s="13" t="str">
        <f>IFERROR(__xludf.DUMMYFUNCTION("IF(G110=""PASS"", RANK.EQ(H110, FILTER($H$2:$H$142, $G$2:$G$142=""PASS""), 1) + COUNTIFS($H$2:$H$142, H110, $I$2:$I$142, ""&lt;""&amp;I110, $G$2:$G$142, ""PASS""), """")"),"")</f>
        <v/>
      </c>
      <c r="K110" s="14">
        <f t="shared" si="2"/>
        <v>15</v>
      </c>
      <c r="L110" s="12" t="s">
        <v>31</v>
      </c>
      <c r="M110" s="13">
        <v>2.9248875E7</v>
      </c>
      <c r="N110" s="13">
        <v>29.5458</v>
      </c>
      <c r="O110" s="13" t="str">
        <f>IFERROR(__xludf.DUMMYFUNCTION("IF(L110=""PASS"", RANK.EQ(M110, FILTER($M$2:$M$142, $L$2:$L$142=""PASS""), 1) + COUNTIFS($M$2:$M$142, M110, $N$2:$N$142, ""&lt;""&amp;N110, $L$2:$L$142, ""PASS""), """")"),"")</f>
        <v/>
      </c>
      <c r="P110" s="14">
        <f t="shared" si="3"/>
        <v>15</v>
      </c>
      <c r="Q110" s="12" t="s">
        <v>31</v>
      </c>
      <c r="R110" s="13">
        <v>3.0174216E7</v>
      </c>
      <c r="S110" s="13">
        <v>31.2675</v>
      </c>
      <c r="T110" s="13" t="str">
        <f>IFERROR(__xludf.DUMMYFUNCTION("IF(Q110=""PASS"", RANK.EQ(R110, FILTER($R$2:$R$142, $Q$2:$Q$142=""PASS""), 1) + COUNTIFS($R$2:$R$142, R110, $S$2:$S$142, ""&lt;""&amp;S110, $Q$2:$Q$142, ""PASS""), """")"),"")</f>
        <v/>
      </c>
      <c r="U110" s="14">
        <f t="shared" si="4"/>
        <v>15</v>
      </c>
      <c r="V110" s="12" t="s">
        <v>31</v>
      </c>
      <c r="W110" s="13">
        <v>1.30252361E8</v>
      </c>
      <c r="X110" s="13">
        <v>112.5671</v>
      </c>
      <c r="Y110" s="13" t="str">
        <f>IFERROR(__xludf.DUMMYFUNCTION("IF(V110=""PASS"", RANK.EQ(W110, FILTER($W$2:$W$142, $V$2:$V$142=""PASS""), 1) + COUNTIFS($W$2:$W$142, W110, $X$2:$X$142, ""&lt;""&amp;X110, $V$2:$V$142, ""PASS""), """")"),"")</f>
        <v/>
      </c>
      <c r="Z110" s="14">
        <f t="shared" si="5"/>
        <v>15</v>
      </c>
      <c r="AA110" s="10">
        <f t="shared" si="6"/>
        <v>75</v>
      </c>
      <c r="AB110" s="17" t="b">
        <v>1</v>
      </c>
      <c r="AC110" s="8">
        <f t="shared" si="8"/>
        <v>70</v>
      </c>
      <c r="AD110" s="7"/>
    </row>
    <row r="111">
      <c r="A111" s="5">
        <v>3.14510203E8</v>
      </c>
      <c r="B111" s="12" t="s">
        <v>31</v>
      </c>
      <c r="C111" s="13">
        <v>691804.0</v>
      </c>
      <c r="D111" s="13">
        <v>5.0357</v>
      </c>
      <c r="E111" s="13" t="str">
        <f>IFERROR(__xludf.DUMMYFUNCTION("IF(B111=""PASS"", RANK.EQ(C111, FILTER($C$2:$C$142, $B$2:$B$142=""PASS""), 1) + COUNTIFS($C$2:$C$142, C111, $D$2:$D$142, ""&lt;""&amp;D111, $B$2:$B$142, ""PASS""), """")"),"")</f>
        <v/>
      </c>
      <c r="F111" s="14">
        <f t="shared" si="1"/>
        <v>15</v>
      </c>
      <c r="G111" s="12" t="s">
        <v>31</v>
      </c>
      <c r="H111" s="13">
        <v>3021793.0</v>
      </c>
      <c r="I111" s="13">
        <v>72.4428</v>
      </c>
      <c r="J111" s="13" t="str">
        <f>IFERROR(__xludf.DUMMYFUNCTION("IF(G111=""PASS"", RANK.EQ(H111, FILTER($H$2:$H$142, $G$2:$G$142=""PASS""), 1) + COUNTIFS($H$2:$H$142, H111, $I$2:$I$142, ""&lt;""&amp;I111, $G$2:$G$142, ""PASS""), """")"),"")</f>
        <v/>
      </c>
      <c r="K111" s="14">
        <f t="shared" si="2"/>
        <v>15</v>
      </c>
      <c r="L111" s="12" t="s">
        <v>31</v>
      </c>
      <c r="M111" s="13">
        <v>1.5283844E7</v>
      </c>
      <c r="N111" s="13">
        <v>149.991</v>
      </c>
      <c r="O111" s="13" t="str">
        <f>IFERROR(__xludf.DUMMYFUNCTION("IF(L111=""PASS"", RANK.EQ(M111, FILTER($M$2:$M$142, $L$2:$L$142=""PASS""), 1) + COUNTIFS($M$2:$M$142, M111, $N$2:$N$142, ""&lt;""&amp;N111, $L$2:$L$142, ""PASS""), """")"),"")</f>
        <v/>
      </c>
      <c r="P111" s="14">
        <f t="shared" si="3"/>
        <v>15</v>
      </c>
      <c r="Q111" s="12" t="s">
        <v>31</v>
      </c>
      <c r="R111" s="13">
        <v>1.535937E7</v>
      </c>
      <c r="S111" s="13">
        <v>150.0351</v>
      </c>
      <c r="T111" s="13" t="str">
        <f>IFERROR(__xludf.DUMMYFUNCTION("IF(Q111=""PASS"", RANK.EQ(R111, FILTER($R$2:$R$142, $Q$2:$Q$142=""PASS""), 1) + COUNTIFS($R$2:$R$142, R111, $S$2:$S$142, ""&lt;""&amp;S111, $Q$2:$Q$142, ""PASS""), """")"),"")</f>
        <v/>
      </c>
      <c r="U111" s="14">
        <f t="shared" si="4"/>
        <v>15</v>
      </c>
      <c r="V111" s="12" t="s">
        <v>31</v>
      </c>
      <c r="W111" s="13">
        <v>1.28625339E8</v>
      </c>
      <c r="X111" s="13">
        <v>160.4868</v>
      </c>
      <c r="Y111" s="13" t="str">
        <f>IFERROR(__xludf.DUMMYFUNCTION("IF(V111=""PASS"", RANK.EQ(W111, FILTER($W$2:$W$142, $V$2:$V$142=""PASS""), 1) + COUNTIFS($W$2:$W$142, W111, $X$2:$X$142, ""&lt;""&amp;X111, $V$2:$V$142, ""PASS""), """")"),"")</f>
        <v/>
      </c>
      <c r="Z111" s="14">
        <f t="shared" si="5"/>
        <v>15</v>
      </c>
      <c r="AA111" s="10">
        <f t="shared" si="6"/>
        <v>75</v>
      </c>
      <c r="AB111" s="11" t="b">
        <v>0</v>
      </c>
      <c r="AC111" s="8">
        <f t="shared" si="8"/>
        <v>75</v>
      </c>
      <c r="AD111" s="7"/>
    </row>
    <row r="112">
      <c r="A112" s="5">
        <v>3.14510205E8</v>
      </c>
      <c r="B112" s="6" t="s">
        <v>29</v>
      </c>
      <c r="C112" s="7">
        <v>688775.0</v>
      </c>
      <c r="D112" s="7">
        <v>1.3652</v>
      </c>
      <c r="E112" s="7">
        <f>IFERROR(__xludf.DUMMYFUNCTION("IF(B112=""PASS"", RANK.EQ(C112, FILTER($C$2:$C$142, $B$2:$B$142=""PASS""), 1) + COUNTIFS($C$2:$C$142, C112, $D$2:$D$142, ""&lt;""&amp;D112, $B$2:$B$142, ""PASS""), """")"),30.0)</f>
        <v>30</v>
      </c>
      <c r="F112" s="8">
        <f t="shared" si="1"/>
        <v>18.87596899</v>
      </c>
      <c r="G112" s="6" t="s">
        <v>29</v>
      </c>
      <c r="H112" s="7">
        <v>3021046.0</v>
      </c>
      <c r="I112" s="7">
        <v>18.6751</v>
      </c>
      <c r="J112" s="7">
        <f>IFERROR(__xludf.DUMMYFUNCTION("IF(G112=""PASS"", RANK.EQ(H112, FILTER($H$2:$H$142, $G$2:$G$142=""PASS""), 1) + COUNTIFS($H$2:$H$142, H112, $I$2:$I$142, ""&lt;""&amp;I112, $G$2:$G$142, ""PASS""), """")"),37.0)</f>
        <v>37</v>
      </c>
      <c r="K112" s="8">
        <f t="shared" si="2"/>
        <v>18.59375</v>
      </c>
      <c r="L112" s="12" t="s">
        <v>31</v>
      </c>
      <c r="M112" s="13">
        <v>2.2415353E7</v>
      </c>
      <c r="N112" s="13">
        <v>2.2286</v>
      </c>
      <c r="O112" s="13" t="str">
        <f>IFERROR(__xludf.DUMMYFUNCTION("IF(L112=""PASS"", RANK.EQ(M112, FILTER($M$2:$M$142, $L$2:$L$142=""PASS""), 1) + COUNTIFS($M$2:$M$142, M112, $N$2:$N$142, ""&lt;""&amp;N112, $L$2:$L$142, ""PASS""), """")"),"")</f>
        <v/>
      </c>
      <c r="P112" s="14">
        <f t="shared" si="3"/>
        <v>15</v>
      </c>
      <c r="Q112" s="12" t="s">
        <v>31</v>
      </c>
      <c r="R112" s="13">
        <v>2.3059114E7</v>
      </c>
      <c r="S112" s="13">
        <v>2.1953</v>
      </c>
      <c r="T112" s="13" t="str">
        <f>IFERROR(__xludf.DUMMYFUNCTION("IF(Q112=""PASS"", RANK.EQ(R112, FILTER($R$2:$R$142, $Q$2:$Q$142=""PASS""), 1) + COUNTIFS($R$2:$R$142, R112, $S$2:$S$142, ""&lt;""&amp;S112, $Q$2:$Q$142, ""PASS""), """")"),"")</f>
        <v/>
      </c>
      <c r="U112" s="14">
        <f t="shared" si="4"/>
        <v>15</v>
      </c>
      <c r="V112" s="12" t="s">
        <v>31</v>
      </c>
      <c r="W112" s="13">
        <v>1.28625339E8</v>
      </c>
      <c r="X112" s="13">
        <v>13.3883</v>
      </c>
      <c r="Y112" s="13" t="str">
        <f>IFERROR(__xludf.DUMMYFUNCTION("IF(V112=""PASS"", RANK.EQ(W112, FILTER($W$2:$W$142, $V$2:$V$142=""PASS""), 1) + COUNTIFS($W$2:$W$142, W112, $X$2:$X$142, ""&lt;""&amp;X112, $V$2:$V$142, ""PASS""), """")"),"")</f>
        <v/>
      </c>
      <c r="Z112" s="14">
        <f t="shared" si="5"/>
        <v>15</v>
      </c>
      <c r="AA112" s="10">
        <f t="shared" si="6"/>
        <v>82.46971899</v>
      </c>
      <c r="AB112" s="11" t="b">
        <v>0</v>
      </c>
      <c r="AC112" s="8">
        <f t="shared" si="8"/>
        <v>82.46971899</v>
      </c>
      <c r="AD112" s="7"/>
    </row>
    <row r="113">
      <c r="A113" s="5">
        <v>3.14510207E8</v>
      </c>
      <c r="B113" s="6" t="s">
        <v>29</v>
      </c>
      <c r="C113" s="7">
        <v>931165.0</v>
      </c>
      <c r="D113" s="7">
        <v>0.4857</v>
      </c>
      <c r="E113" s="7">
        <f>IFERROR(__xludf.DUMMYFUNCTION("IF(B113=""PASS"", RANK.EQ(C113, FILTER($C$2:$C$142, $B$2:$B$142=""PASS""), 1) + COUNTIFS($C$2:$C$142, C113, $D$2:$D$142, ""&lt;""&amp;D113, $B$2:$B$142, ""PASS""), """")"),74.0)</f>
        <v>74</v>
      </c>
      <c r="F113" s="8">
        <f t="shared" si="1"/>
        <v>17.17054264</v>
      </c>
      <c r="G113" s="6" t="s">
        <v>29</v>
      </c>
      <c r="H113" s="7">
        <v>4309911.0</v>
      </c>
      <c r="I113" s="7">
        <v>2.9007</v>
      </c>
      <c r="J113" s="7">
        <f>IFERROR(__xludf.DUMMYFUNCTION("IF(G113=""PASS"", RANK.EQ(H113, FILTER($H$2:$H$142, $G$2:$G$142=""PASS""), 1) + COUNTIFS($H$2:$H$142, H113, $I$2:$I$142, ""&lt;""&amp;I113, $G$2:$G$142, ""PASS""), """")"),69.0)</f>
        <v>69</v>
      </c>
      <c r="K113" s="8">
        <f t="shared" si="2"/>
        <v>17.34375</v>
      </c>
      <c r="L113" s="6" t="s">
        <v>29</v>
      </c>
      <c r="M113" s="7">
        <v>1.8546005E7</v>
      </c>
      <c r="N113" s="7">
        <v>15.1593</v>
      </c>
      <c r="O113" s="7">
        <f>IFERROR(__xludf.DUMMYFUNCTION("IF(L113=""PASS"", RANK.EQ(M113, FILTER($M$2:$M$142, $L$2:$L$142=""PASS""), 1) + COUNTIFS($M$2:$M$142, M113, $N$2:$N$142, ""&lt;""&amp;N113, $L$2:$L$142, ""PASS""), """")"),61.0)</f>
        <v>61</v>
      </c>
      <c r="P113" s="8">
        <f t="shared" si="3"/>
        <v>17.54098361</v>
      </c>
      <c r="Q113" s="6" t="s">
        <v>29</v>
      </c>
      <c r="R113" s="7">
        <v>1.8743022E7</v>
      </c>
      <c r="S113" s="7">
        <v>15.292</v>
      </c>
      <c r="T113" s="7">
        <f>IFERROR(__xludf.DUMMYFUNCTION("IF(Q113=""PASS"", RANK.EQ(R113, FILTER($R$2:$R$142, $Q$2:$Q$142=""PASS""), 1) + COUNTIFS($R$2:$R$142, R113, $S$2:$S$142, ""&lt;""&amp;S113, $Q$2:$Q$142, ""PASS""), """")"),60.0)</f>
        <v>60</v>
      </c>
      <c r="U113" s="8">
        <f t="shared" si="4"/>
        <v>17.54166667</v>
      </c>
      <c r="V113" s="12" t="s">
        <v>31</v>
      </c>
      <c r="W113" s="13">
        <v>1.29644514E8</v>
      </c>
      <c r="X113" s="13">
        <v>73.6741</v>
      </c>
      <c r="Y113" s="13" t="str">
        <f>IFERROR(__xludf.DUMMYFUNCTION("IF(V113=""PASS"", RANK.EQ(W113, FILTER($W$2:$W$142, $V$2:$V$142=""PASS""), 1) + COUNTIFS($W$2:$W$142, W113, $X$2:$X$142, ""&lt;""&amp;X113, $V$2:$V$142, ""PASS""), """")"),"")</f>
        <v/>
      </c>
      <c r="Z113" s="14">
        <f t="shared" si="5"/>
        <v>15</v>
      </c>
      <c r="AA113" s="10">
        <f t="shared" si="6"/>
        <v>84.59694291</v>
      </c>
      <c r="AB113" s="11" t="b">
        <v>0</v>
      </c>
      <c r="AC113" s="8">
        <f t="shared" si="8"/>
        <v>84.59694291</v>
      </c>
      <c r="AD113" s="7"/>
    </row>
    <row r="114">
      <c r="A114" s="5">
        <v>3.14510208E8</v>
      </c>
      <c r="B114" s="6" t="s">
        <v>29</v>
      </c>
      <c r="C114" s="7">
        <v>699873.0</v>
      </c>
      <c r="D114" s="7">
        <v>3.7872</v>
      </c>
      <c r="E114" s="7">
        <f>IFERROR(__xludf.DUMMYFUNCTION("IF(B114=""PASS"", RANK.EQ(C114, FILTER($C$2:$C$142, $B$2:$B$142=""PASS""), 1) + COUNTIFS($C$2:$C$142, C114, $D$2:$D$142, ""&lt;""&amp;D114, $B$2:$B$142, ""PASS""), """")"),44.0)</f>
        <v>44</v>
      </c>
      <c r="F114" s="8">
        <f t="shared" si="1"/>
        <v>18.33333333</v>
      </c>
      <c r="G114" s="6" t="s">
        <v>29</v>
      </c>
      <c r="H114" s="7">
        <v>2989172.0</v>
      </c>
      <c r="I114" s="7">
        <v>14.59</v>
      </c>
      <c r="J114" s="7">
        <f>IFERROR(__xludf.DUMMYFUNCTION("IF(G114=""PASS"", RANK.EQ(H114, FILTER($H$2:$H$142, $G$2:$G$142=""PASS""), 1) + COUNTIFS($H$2:$H$142, H114, $I$2:$I$142, ""&lt;""&amp;I114, $G$2:$G$142, ""PASS""), """")"),29.0)</f>
        <v>29</v>
      </c>
      <c r="K114" s="8">
        <f t="shared" si="2"/>
        <v>18.90625</v>
      </c>
      <c r="L114" s="6" t="s">
        <v>29</v>
      </c>
      <c r="M114" s="7">
        <v>1.2750787E7</v>
      </c>
      <c r="N114" s="7">
        <v>61.0528</v>
      </c>
      <c r="O114" s="7">
        <f>IFERROR(__xludf.DUMMYFUNCTION("IF(L114=""PASS"", RANK.EQ(M114, FILTER($M$2:$M$142, $L$2:$L$142=""PASS""), 1) + COUNTIFS($M$2:$M$142, M114, $N$2:$N$142, ""&lt;""&amp;N114, $L$2:$L$142, ""PASS""), """")"),19.0)</f>
        <v>19</v>
      </c>
      <c r="P114" s="8">
        <f t="shared" si="3"/>
        <v>19.26229508</v>
      </c>
      <c r="Q114" s="6" t="s">
        <v>29</v>
      </c>
      <c r="R114" s="7">
        <v>1.2683266E7</v>
      </c>
      <c r="S114" s="7">
        <v>59.8869</v>
      </c>
      <c r="T114" s="7">
        <f>IFERROR(__xludf.DUMMYFUNCTION("IF(Q114=""PASS"", RANK.EQ(R114, FILTER($R$2:$R$142, $Q$2:$Q$142=""PASS""), 1) + COUNTIFS($R$2:$R$142, R114, $S$2:$S$142, ""&lt;""&amp;S114, $Q$2:$Q$142, ""PASS""), """")"),18.0)</f>
        <v>18</v>
      </c>
      <c r="U114" s="8">
        <f t="shared" si="4"/>
        <v>19.29166667</v>
      </c>
      <c r="V114" s="12" t="s">
        <v>31</v>
      </c>
      <c r="W114" s="13">
        <v>1.28625339E8</v>
      </c>
      <c r="X114" s="13">
        <v>46.5195</v>
      </c>
      <c r="Y114" s="13" t="str">
        <f>IFERROR(__xludf.DUMMYFUNCTION("IF(V114=""PASS"", RANK.EQ(W114, FILTER($W$2:$W$142, $V$2:$V$142=""PASS""), 1) + COUNTIFS($W$2:$W$142, W114, $X$2:$X$142, ""&lt;""&amp;X114, $V$2:$V$142, ""PASS""), """")"),"")</f>
        <v/>
      </c>
      <c r="Z114" s="14">
        <f t="shared" si="5"/>
        <v>15</v>
      </c>
      <c r="AA114" s="10">
        <f t="shared" si="6"/>
        <v>90.79354508</v>
      </c>
      <c r="AB114" s="11" t="b">
        <v>0</v>
      </c>
      <c r="AC114" s="8">
        <f t="shared" si="8"/>
        <v>90.79354508</v>
      </c>
      <c r="AD114" s="7"/>
    </row>
    <row r="115">
      <c r="A115" s="5">
        <v>3.14510213E8</v>
      </c>
      <c r="B115" s="6" t="s">
        <v>29</v>
      </c>
      <c r="C115" s="7">
        <v>617790.0</v>
      </c>
      <c r="D115" s="7">
        <v>9.6114</v>
      </c>
      <c r="E115" s="7">
        <f>IFERROR(__xludf.DUMMYFUNCTION("IF(B115=""PASS"", RANK.EQ(C115, FILTER($C$2:$C$142, $B$2:$B$142=""PASS""), 1) + COUNTIFS($C$2:$C$142, C115, $D$2:$D$142, ""&lt;""&amp;D115, $B$2:$B$142, ""PASS""), """")"),4.0)</f>
        <v>4</v>
      </c>
      <c r="F115" s="8">
        <f t="shared" si="1"/>
        <v>19.88372093</v>
      </c>
      <c r="G115" s="6" t="s">
        <v>29</v>
      </c>
      <c r="H115" s="7">
        <v>2541969.0</v>
      </c>
      <c r="I115" s="7">
        <v>69.0979</v>
      </c>
      <c r="J115" s="7">
        <f>IFERROR(__xludf.DUMMYFUNCTION("IF(G115=""PASS"", RANK.EQ(H115, FILTER($H$2:$H$142, $G$2:$G$142=""PASS""), 1) + COUNTIFS($H$2:$H$142, H115, $I$2:$I$142, ""&lt;""&amp;I115, $G$2:$G$142, ""PASS""), """")"),4.0)</f>
        <v>4</v>
      </c>
      <c r="K115" s="8">
        <f t="shared" si="2"/>
        <v>19.8828125</v>
      </c>
      <c r="L115" s="6" t="s">
        <v>29</v>
      </c>
      <c r="M115" s="7">
        <v>1.1133661E7</v>
      </c>
      <c r="N115" s="7">
        <v>173.1011</v>
      </c>
      <c r="O115" s="7">
        <f>IFERROR(__xludf.DUMMYFUNCTION("IF(L115=""PASS"", RANK.EQ(M115, FILTER($M$2:$M$142, $L$2:$L$142=""PASS""), 1) + COUNTIFS($M$2:$M$142, M115, $N$2:$N$142, ""&lt;""&amp;N115, $L$2:$L$142, ""PASS""), """")"),5.0)</f>
        <v>5</v>
      </c>
      <c r="P115" s="8">
        <f t="shared" si="3"/>
        <v>19.83606557</v>
      </c>
      <c r="Q115" s="6" t="s">
        <v>29</v>
      </c>
      <c r="R115" s="7">
        <v>1.1056439E7</v>
      </c>
      <c r="S115" s="7">
        <v>173.1039</v>
      </c>
      <c r="T115" s="7">
        <f>IFERROR(__xludf.DUMMYFUNCTION("IF(Q115=""PASS"", RANK.EQ(R115, FILTER($R$2:$R$142, $Q$2:$Q$142=""PASS""), 1) + COUNTIFS($R$2:$R$142, R115, $S$2:$S$142, ""&lt;""&amp;S115, $Q$2:$Q$142, ""PASS""), """")"),5.0)</f>
        <v>5</v>
      </c>
      <c r="U115" s="8">
        <f t="shared" si="4"/>
        <v>19.83333333</v>
      </c>
      <c r="V115" s="6" t="s">
        <v>29</v>
      </c>
      <c r="W115" s="7">
        <v>1.33630133E8</v>
      </c>
      <c r="X115" s="7">
        <v>177.7281</v>
      </c>
      <c r="Y115" s="7">
        <f>IFERROR(__xludf.DUMMYFUNCTION("IF(V115=""PASS"", RANK.EQ(W115, FILTER($W$2:$W$142, $V$2:$V$142=""PASS""), 1) + COUNTIFS($W$2:$W$142, W115, $X$2:$X$142, ""&lt;""&amp;X115, $V$2:$V$142, ""PASS""), """")"),71.0)</f>
        <v>71</v>
      </c>
      <c r="Z115" s="8">
        <f t="shared" si="5"/>
        <v>15.78313253</v>
      </c>
      <c r="AA115" s="10">
        <f t="shared" si="6"/>
        <v>95.21906487</v>
      </c>
      <c r="AB115" s="11" t="b">
        <v>0</v>
      </c>
      <c r="AC115" s="8">
        <f t="shared" si="8"/>
        <v>95.21906487</v>
      </c>
      <c r="AD115" s="7"/>
    </row>
    <row r="116">
      <c r="A116" s="5">
        <v>3.14510214E8</v>
      </c>
      <c r="B116" s="6" t="s">
        <v>29</v>
      </c>
      <c r="C116" s="7">
        <v>825129.0</v>
      </c>
      <c r="D116" s="7">
        <v>1.2265</v>
      </c>
      <c r="E116" s="7">
        <f>IFERROR(__xludf.DUMMYFUNCTION("IF(B116=""PASS"", RANK.EQ(C116, FILTER($C$2:$C$142, $B$2:$B$142=""PASS""), 1) + COUNTIFS($C$2:$C$142, C116, $D$2:$D$142, ""&lt;""&amp;D116, $B$2:$B$142, ""PASS""), """")"),69.0)</f>
        <v>69</v>
      </c>
      <c r="F116" s="8">
        <f t="shared" si="1"/>
        <v>17.36434109</v>
      </c>
      <c r="G116" s="6" t="s">
        <v>29</v>
      </c>
      <c r="H116" s="7">
        <v>3824552.0</v>
      </c>
      <c r="I116" s="7">
        <v>6.8213</v>
      </c>
      <c r="J116" s="7">
        <f>IFERROR(__xludf.DUMMYFUNCTION("IF(G116=""PASS"", RANK.EQ(H116, FILTER($H$2:$H$142, $G$2:$G$142=""PASS""), 1) + COUNTIFS($H$2:$H$142, H116, $I$2:$I$142, ""&lt;""&amp;I116, $G$2:$G$142, ""PASS""), """")"),66.0)</f>
        <v>66</v>
      </c>
      <c r="K116" s="8">
        <f t="shared" si="2"/>
        <v>17.4609375</v>
      </c>
      <c r="L116" s="6" t="s">
        <v>29</v>
      </c>
      <c r="M116" s="7">
        <v>1.6458917E7</v>
      </c>
      <c r="N116" s="7">
        <v>29.8771</v>
      </c>
      <c r="O116" s="7">
        <f>IFERROR(__xludf.DUMMYFUNCTION("IF(L116=""PASS"", RANK.EQ(M116, FILTER($M$2:$M$142, $L$2:$L$142=""PASS""), 1) + COUNTIFS($M$2:$M$142, M116, $N$2:$N$142, ""&lt;""&amp;N116, $L$2:$L$142, ""PASS""), """")"),56.0)</f>
        <v>56</v>
      </c>
      <c r="P116" s="8">
        <f t="shared" si="3"/>
        <v>17.74590164</v>
      </c>
      <c r="Q116" s="6" t="s">
        <v>29</v>
      </c>
      <c r="R116" s="7">
        <v>1.6632467E7</v>
      </c>
      <c r="S116" s="7">
        <v>30.7742</v>
      </c>
      <c r="T116" s="7">
        <f>IFERROR(__xludf.DUMMYFUNCTION("IF(Q116=""PASS"", RANK.EQ(R116, FILTER($R$2:$R$142, $Q$2:$Q$142=""PASS""), 1) + COUNTIFS($R$2:$R$142, R116, $S$2:$S$142, ""&lt;""&amp;S116, $Q$2:$Q$142, ""PASS""), """")"),56.0)</f>
        <v>56</v>
      </c>
      <c r="U116" s="8">
        <f t="shared" si="4"/>
        <v>17.70833333</v>
      </c>
      <c r="V116" s="6" t="s">
        <v>29</v>
      </c>
      <c r="W116" s="7">
        <v>1.28625339E8</v>
      </c>
      <c r="X116" s="7">
        <v>154.6932</v>
      </c>
      <c r="Y116" s="7">
        <f>IFERROR(__xludf.DUMMYFUNCTION("IF(V116=""PASS"", RANK.EQ(W116, FILTER($W$2:$W$142, $V$2:$V$142=""PASS""), 1) + COUNTIFS($W$2:$W$142, W116, $X$2:$X$142, ""&lt;""&amp;X116, $V$2:$V$142, ""PASS""), """")"),53.0)</f>
        <v>53</v>
      </c>
      <c r="Z116" s="8">
        <f t="shared" si="5"/>
        <v>16.86746988</v>
      </c>
      <c r="AA116" s="10">
        <f t="shared" si="6"/>
        <v>87.14698344</v>
      </c>
      <c r="AB116" s="11" t="b">
        <v>0</v>
      </c>
      <c r="AC116" s="8">
        <f t="shared" si="8"/>
        <v>87.14698344</v>
      </c>
      <c r="AD116" s="7"/>
    </row>
    <row r="117">
      <c r="A117" s="5">
        <v>3.14510215E8</v>
      </c>
      <c r="B117" s="6" t="s">
        <v>29</v>
      </c>
      <c r="C117" s="7">
        <v>724063.0</v>
      </c>
      <c r="D117" s="7">
        <v>51.2228</v>
      </c>
      <c r="E117" s="7">
        <f>IFERROR(__xludf.DUMMYFUNCTION("IF(B117=""PASS"", RANK.EQ(C117, FILTER($C$2:$C$142, $B$2:$B$142=""PASS""), 1) + COUNTIFS($C$2:$C$142, C117, $D$2:$D$142, ""&lt;""&amp;D117, $B$2:$B$142, ""PASS""), """")"),48.0)</f>
        <v>48</v>
      </c>
      <c r="F117" s="8">
        <f t="shared" si="1"/>
        <v>18.17829457</v>
      </c>
      <c r="G117" s="6" t="s">
        <v>29</v>
      </c>
      <c r="H117" s="7">
        <v>5335821.0</v>
      </c>
      <c r="I117" s="7">
        <v>0.6441</v>
      </c>
      <c r="J117" s="7">
        <f>IFERROR(__xludf.DUMMYFUNCTION("IF(G117=""PASS"", RANK.EQ(H117, FILTER($H$2:$H$142, $G$2:$G$142=""PASS""), 1) + COUNTIFS($H$2:$H$142, H117, $I$2:$I$142, ""&lt;""&amp;I117, $G$2:$G$142, ""PASS""), """")"),92.0)</f>
        <v>92</v>
      </c>
      <c r="K117" s="8">
        <f t="shared" si="2"/>
        <v>16.4453125</v>
      </c>
      <c r="L117" s="6" t="s">
        <v>29</v>
      </c>
      <c r="M117" s="7">
        <v>2.2781993E7</v>
      </c>
      <c r="N117" s="7">
        <v>3.1525</v>
      </c>
      <c r="O117" s="7">
        <f>IFERROR(__xludf.DUMMYFUNCTION("IF(L117=""PASS"", RANK.EQ(M117, FILTER($M$2:$M$142, $L$2:$L$142=""PASS""), 1) + COUNTIFS($M$2:$M$142, M117, $N$2:$N$142, ""&lt;""&amp;N117, $L$2:$L$142, ""PASS""), """")"),83.0)</f>
        <v>83</v>
      </c>
      <c r="P117" s="8">
        <f t="shared" si="3"/>
        <v>16.63934426</v>
      </c>
      <c r="Q117" s="6" t="s">
        <v>29</v>
      </c>
      <c r="R117" s="7">
        <v>2.3436741E7</v>
      </c>
      <c r="S117" s="7">
        <v>3.1795</v>
      </c>
      <c r="T117" s="7">
        <f>IFERROR(__xludf.DUMMYFUNCTION("IF(Q117=""PASS"", RANK.EQ(R117, FILTER($R$2:$R$142, $Q$2:$Q$142=""PASS""), 1) + COUNTIFS($R$2:$R$142, R117, $S$2:$S$142, ""&lt;""&amp;S117, $Q$2:$Q$142, ""PASS""), """")"),83.0)</f>
        <v>83</v>
      </c>
      <c r="U117" s="8">
        <f t="shared" si="4"/>
        <v>16.58333333</v>
      </c>
      <c r="V117" s="12" t="s">
        <v>31</v>
      </c>
      <c r="W117" s="13">
        <v>1.28625339E8</v>
      </c>
      <c r="X117" s="13">
        <v>10.6443</v>
      </c>
      <c r="Y117" s="13" t="str">
        <f>IFERROR(__xludf.DUMMYFUNCTION("IF(V117=""PASS"", RANK.EQ(W117, FILTER($W$2:$W$142, $V$2:$V$142=""PASS""), 1) + COUNTIFS($W$2:$W$142, W117, $X$2:$X$142, ""&lt;""&amp;X117, $V$2:$V$142, ""PASS""), """")"),"")</f>
        <v/>
      </c>
      <c r="Z117" s="14">
        <f t="shared" si="5"/>
        <v>15</v>
      </c>
      <c r="AA117" s="10">
        <f t="shared" si="6"/>
        <v>82.84628467</v>
      </c>
      <c r="AB117" s="11" t="b">
        <v>0</v>
      </c>
      <c r="AC117" s="8">
        <f t="shared" si="8"/>
        <v>82.84628467</v>
      </c>
      <c r="AD117" s="7"/>
    </row>
    <row r="118">
      <c r="A118" s="5">
        <v>3.1451023E8</v>
      </c>
      <c r="B118" s="6" t="s">
        <v>29</v>
      </c>
      <c r="C118" s="7">
        <v>1672912.0</v>
      </c>
      <c r="D118" s="7">
        <v>150.9824</v>
      </c>
      <c r="E118" s="7">
        <f>IFERROR(__xludf.DUMMYFUNCTION("IF(B118=""PASS"", RANK.EQ(C118, FILTER($C$2:$C$142, $B$2:$B$142=""PASS""), 1) + COUNTIFS($C$2:$C$142, C118, $D$2:$D$142, ""&lt;""&amp;D118, $B$2:$B$142, ""PASS""), """")"),123.0)</f>
        <v>123</v>
      </c>
      <c r="F118" s="8">
        <f t="shared" si="1"/>
        <v>15.27131783</v>
      </c>
      <c r="G118" s="6" t="s">
        <v>29</v>
      </c>
      <c r="H118" s="7">
        <v>8776671.0</v>
      </c>
      <c r="I118" s="7">
        <v>151.0946</v>
      </c>
      <c r="J118" s="7">
        <f>IFERROR(__xludf.DUMMYFUNCTION("IF(G118=""PASS"", RANK.EQ(H118, FILTER($H$2:$H$142, $G$2:$G$142=""PASS""), 1) + COUNTIFS($H$2:$H$142, H118, $I$2:$I$142, ""&lt;""&amp;I118, $G$2:$G$142, ""PASS""), """")"),120.0)</f>
        <v>120</v>
      </c>
      <c r="K118" s="8">
        <f t="shared" si="2"/>
        <v>15.3515625</v>
      </c>
      <c r="L118" s="6" t="s">
        <v>29</v>
      </c>
      <c r="M118" s="7">
        <v>3.7436512E7</v>
      </c>
      <c r="N118" s="7">
        <v>152.8587</v>
      </c>
      <c r="O118" s="7">
        <f>IFERROR(__xludf.DUMMYFUNCTION("IF(L118=""PASS"", RANK.EQ(M118, FILTER($M$2:$M$142, $L$2:$L$142=""PASS""), 1) + COUNTIFS($M$2:$M$142, M118, $N$2:$N$142, ""&lt;""&amp;N118, $L$2:$L$142, ""PASS""), """")"),112.0)</f>
        <v>112</v>
      </c>
      <c r="P118" s="8">
        <f t="shared" si="3"/>
        <v>15.45081967</v>
      </c>
      <c r="Q118" s="6" t="s">
        <v>29</v>
      </c>
      <c r="R118" s="7">
        <v>3.865867E7</v>
      </c>
      <c r="S118" s="7">
        <v>152.6353</v>
      </c>
      <c r="T118" s="7">
        <f>IFERROR(__xludf.DUMMYFUNCTION("IF(Q118=""PASS"", RANK.EQ(R118, FILTER($R$2:$R$142, $Q$2:$Q$142=""PASS""), 1) + COUNTIFS($R$2:$R$142, R118, $S$2:$S$142, ""&lt;""&amp;S118, $Q$2:$Q$142, ""PASS""), """")"),111.0)</f>
        <v>111</v>
      </c>
      <c r="U118" s="8">
        <f t="shared" si="4"/>
        <v>15.41666667</v>
      </c>
      <c r="V118" s="6" t="s">
        <v>30</v>
      </c>
      <c r="W118" s="9"/>
      <c r="X118" s="7">
        <v>180.1068</v>
      </c>
      <c r="Y118" s="7" t="str">
        <f>IFERROR(__xludf.DUMMYFUNCTION("IF(V118=""PASS"", RANK.EQ(W118, FILTER($W$2:$W$142, $V$2:$V$142=""PASS""), 1) + COUNTIFS($W$2:$W$142, W118, $X$2:$X$142, ""&lt;""&amp;X118, $V$2:$V$142, ""PASS""), """")"),"")</f>
        <v/>
      </c>
      <c r="Z118" s="8">
        <f t="shared" si="5"/>
        <v>0</v>
      </c>
      <c r="AA118" s="10">
        <f t="shared" si="6"/>
        <v>61.49036667</v>
      </c>
      <c r="AB118" s="11" t="b">
        <v>0</v>
      </c>
      <c r="AC118" s="8">
        <f t="shared" si="8"/>
        <v>61.49036667</v>
      </c>
      <c r="AD118" s="7"/>
    </row>
    <row r="119">
      <c r="A119" s="5">
        <v>3.14511038E8</v>
      </c>
      <c r="B119" s="6" t="s">
        <v>29</v>
      </c>
      <c r="C119" s="7">
        <v>980182.0</v>
      </c>
      <c r="D119" s="7">
        <v>0.2609</v>
      </c>
      <c r="E119" s="7">
        <f>IFERROR(__xludf.DUMMYFUNCTION("IF(B119=""PASS"", RANK.EQ(C119, FILTER($C$2:$C$142, $B$2:$B$142=""PASS""), 1) + COUNTIFS($C$2:$C$142, C119, $D$2:$D$142, ""&lt;""&amp;D119, $B$2:$B$142, ""PASS""), """")"),84.0)</f>
        <v>84</v>
      </c>
      <c r="F119" s="8">
        <f t="shared" si="1"/>
        <v>16.78294574</v>
      </c>
      <c r="G119" s="6" t="s">
        <v>29</v>
      </c>
      <c r="H119" s="7">
        <v>4827894.0</v>
      </c>
      <c r="I119" s="7">
        <v>1.2917</v>
      </c>
      <c r="J119" s="7">
        <f>IFERROR(__xludf.DUMMYFUNCTION("IF(G119=""PASS"", RANK.EQ(H119, FILTER($H$2:$H$142, $G$2:$G$142=""PASS""), 1) + COUNTIFS($H$2:$H$142, H119, $I$2:$I$142, ""&lt;""&amp;I119, $G$2:$G$142, ""PASS""), """")"),80.0)</f>
        <v>80</v>
      </c>
      <c r="K119" s="8">
        <f t="shared" si="2"/>
        <v>16.9140625</v>
      </c>
      <c r="L119" s="6" t="s">
        <v>29</v>
      </c>
      <c r="M119" s="7">
        <v>2.0713496E7</v>
      </c>
      <c r="N119" s="7">
        <v>5.7299</v>
      </c>
      <c r="O119" s="7">
        <f>IFERROR(__xludf.DUMMYFUNCTION("IF(L119=""PASS"", RANK.EQ(M119, FILTER($M$2:$M$142, $L$2:$L$142=""PASS""), 1) + COUNTIFS($M$2:$M$142, M119, $N$2:$N$142, ""&lt;""&amp;N119, $L$2:$L$142, ""PASS""), """")"),72.0)</f>
        <v>72</v>
      </c>
      <c r="P119" s="8">
        <f t="shared" si="3"/>
        <v>17.09016393</v>
      </c>
      <c r="Q119" s="6" t="s">
        <v>29</v>
      </c>
      <c r="R119" s="7">
        <v>2.1157866E7</v>
      </c>
      <c r="S119" s="7">
        <v>5.8314</v>
      </c>
      <c r="T119" s="7">
        <f>IFERROR(__xludf.DUMMYFUNCTION("IF(Q119=""PASS"", RANK.EQ(R119, FILTER($R$2:$R$142, $Q$2:$Q$142=""PASS""), 1) + COUNTIFS($R$2:$R$142, R119, $S$2:$S$142, ""&lt;""&amp;S119, $Q$2:$Q$142, ""PASS""), """")"),72.0)</f>
        <v>72</v>
      </c>
      <c r="U119" s="8">
        <f t="shared" si="4"/>
        <v>17.04166667</v>
      </c>
      <c r="V119" s="6" t="s">
        <v>29</v>
      </c>
      <c r="W119" s="7">
        <v>1.3048947E8</v>
      </c>
      <c r="X119" s="7">
        <v>32.876</v>
      </c>
      <c r="Y119" s="7">
        <f>IFERROR(__xludf.DUMMYFUNCTION("IF(V119=""PASS"", RANK.EQ(W119, FILTER($W$2:$W$142, $V$2:$V$142=""PASS""), 1) + COUNTIFS($W$2:$W$142, W119, $X$2:$X$142, ""&lt;""&amp;X119, $V$2:$V$142, ""PASS""), """")"),64.0)</f>
        <v>64</v>
      </c>
      <c r="Z119" s="8">
        <f t="shared" si="5"/>
        <v>16.20481928</v>
      </c>
      <c r="AA119" s="10">
        <f t="shared" si="6"/>
        <v>84.03365811</v>
      </c>
      <c r="AB119" s="11" t="b">
        <v>0</v>
      </c>
      <c r="AC119" s="8">
        <f t="shared" si="8"/>
        <v>84.03365811</v>
      </c>
      <c r="AD119" s="7"/>
    </row>
    <row r="120">
      <c r="A120" s="5">
        <v>3.14511039E8</v>
      </c>
      <c r="B120" s="6" t="s">
        <v>29</v>
      </c>
      <c r="C120" s="7">
        <v>785369.0</v>
      </c>
      <c r="D120" s="7">
        <v>0.1211</v>
      </c>
      <c r="E120" s="7">
        <f>IFERROR(__xludf.DUMMYFUNCTION("IF(B120=""PASS"", RANK.EQ(C120, FILTER($C$2:$C$142, $B$2:$B$142=""PASS""), 1) + COUNTIFS($C$2:$C$142, C120, $D$2:$D$142, ""&lt;""&amp;D120, $B$2:$B$142, ""PASS""), """")"),56.0)</f>
        <v>56</v>
      </c>
      <c r="F120" s="8">
        <f t="shared" si="1"/>
        <v>17.86821705</v>
      </c>
      <c r="G120" s="6" t="s">
        <v>29</v>
      </c>
      <c r="H120" s="7">
        <v>3545452.0</v>
      </c>
      <c r="I120" s="7">
        <v>0.5606</v>
      </c>
      <c r="J120" s="7">
        <f>IFERROR(__xludf.DUMMYFUNCTION("IF(G120=""PASS"", RANK.EQ(H120, FILTER($H$2:$H$142, $G$2:$G$142=""PASS""), 1) + COUNTIFS($H$2:$H$142, H120, $I$2:$I$142, ""&lt;""&amp;I120, $G$2:$G$142, ""PASS""), """")"),55.0)</f>
        <v>55</v>
      </c>
      <c r="K120" s="8">
        <f t="shared" si="2"/>
        <v>17.890625</v>
      </c>
      <c r="L120" s="6" t="s">
        <v>29</v>
      </c>
      <c r="M120" s="7">
        <v>1.5267451E7</v>
      </c>
      <c r="N120" s="7">
        <v>2.4442</v>
      </c>
      <c r="O120" s="7">
        <f>IFERROR(__xludf.DUMMYFUNCTION("IF(L120=""PASS"", RANK.EQ(M120, FILTER($M$2:$M$142, $L$2:$L$142=""PASS""), 1) + COUNTIFS($M$2:$M$142, M120, $N$2:$N$142, ""&lt;""&amp;N120, $L$2:$L$142, ""PASS""), """")"),46.0)</f>
        <v>46</v>
      </c>
      <c r="P120" s="8">
        <f t="shared" si="3"/>
        <v>18.1557377</v>
      </c>
      <c r="Q120" s="6" t="s">
        <v>29</v>
      </c>
      <c r="R120" s="7">
        <v>1.5344538E7</v>
      </c>
      <c r="S120" s="7">
        <v>2.4486</v>
      </c>
      <c r="T120" s="7">
        <f>IFERROR(__xludf.DUMMYFUNCTION("IF(Q120=""PASS"", RANK.EQ(R120, FILTER($R$2:$R$142, $Q$2:$Q$142=""PASS""), 1) + COUNTIFS($R$2:$R$142, R120, $S$2:$S$142, ""&lt;""&amp;S120, $Q$2:$Q$142, ""PASS""), """")"),45.0)</f>
        <v>45</v>
      </c>
      <c r="U120" s="8">
        <f t="shared" si="4"/>
        <v>18.16666667</v>
      </c>
      <c r="V120" s="6" t="s">
        <v>29</v>
      </c>
      <c r="W120" s="7">
        <v>1.28625339E8</v>
      </c>
      <c r="X120" s="7">
        <v>13.9494</v>
      </c>
      <c r="Y120" s="7">
        <f>IFERROR(__xludf.DUMMYFUNCTION("IF(V120=""PASS"", RANK.EQ(W120, FILTER($W$2:$W$142, $V$2:$V$142=""PASS""), 1) + COUNTIFS($W$2:$W$142, W120, $X$2:$X$142, ""&lt;""&amp;X120, $V$2:$V$142, ""PASS""), """")"),8.0)</f>
        <v>8</v>
      </c>
      <c r="Z120" s="8">
        <f t="shared" si="5"/>
        <v>19.57831325</v>
      </c>
      <c r="AA120" s="10">
        <f t="shared" si="6"/>
        <v>91.65955968</v>
      </c>
      <c r="AB120" s="11" t="b">
        <v>0</v>
      </c>
      <c r="AC120" s="8">
        <f t="shared" si="8"/>
        <v>91.65955968</v>
      </c>
      <c r="AD120" s="7"/>
    </row>
    <row r="121">
      <c r="A121" s="5">
        <v>3.14551042E8</v>
      </c>
      <c r="B121" s="6" t="s">
        <v>29</v>
      </c>
      <c r="C121" s="7">
        <v>1047857.0</v>
      </c>
      <c r="D121" s="7">
        <v>9.8591</v>
      </c>
      <c r="E121" s="7">
        <f>IFERROR(__xludf.DUMMYFUNCTION("IF(B121=""PASS"", RANK.EQ(C121, FILTER($C$2:$C$142, $B$2:$B$142=""PASS""), 1) + COUNTIFS($C$2:$C$142, C121, $D$2:$D$142, ""&lt;""&amp;D121, $B$2:$B$142, ""PASS""), """")"),97.0)</f>
        <v>97</v>
      </c>
      <c r="F121" s="8">
        <f t="shared" si="1"/>
        <v>16.27906977</v>
      </c>
      <c r="G121" s="6" t="s">
        <v>29</v>
      </c>
      <c r="H121" s="7">
        <v>5261801.0</v>
      </c>
      <c r="I121" s="7">
        <v>76.2396</v>
      </c>
      <c r="J121" s="7">
        <f>IFERROR(__xludf.DUMMYFUNCTION("IF(G121=""PASS"", RANK.EQ(H121, FILTER($H$2:$H$142, $G$2:$G$142=""PASS""), 1) + COUNTIFS($H$2:$H$142, H121, $I$2:$I$142, ""&lt;""&amp;I121, $G$2:$G$142, ""PASS""), """")"),86.0)</f>
        <v>86</v>
      </c>
      <c r="K121" s="8">
        <f t="shared" si="2"/>
        <v>16.6796875</v>
      </c>
      <c r="L121" s="6" t="s">
        <v>29</v>
      </c>
      <c r="M121" s="7">
        <v>2.1383271E7</v>
      </c>
      <c r="N121" s="7">
        <v>92.0108</v>
      </c>
      <c r="O121" s="7">
        <f>IFERROR(__xludf.DUMMYFUNCTION("IF(L121=""PASS"", RANK.EQ(M121, FILTER($M$2:$M$142, $L$2:$L$142=""PASS""), 1) + COUNTIFS($M$2:$M$142, M121, $N$2:$N$142, ""&lt;""&amp;N121, $L$2:$L$142, ""PASS""), """")"),74.0)</f>
        <v>74</v>
      </c>
      <c r="P121" s="8">
        <f t="shared" si="3"/>
        <v>17.00819672</v>
      </c>
      <c r="Q121" s="6" t="s">
        <v>29</v>
      </c>
      <c r="R121" s="7">
        <v>2.184106E7</v>
      </c>
      <c r="S121" s="7">
        <v>93.2385</v>
      </c>
      <c r="T121" s="7">
        <f>IFERROR(__xludf.DUMMYFUNCTION("IF(Q121=""PASS"", RANK.EQ(R121, FILTER($R$2:$R$142, $Q$2:$Q$142=""PASS""), 1) + COUNTIFS($R$2:$R$142, R121, $S$2:$S$142, ""&lt;""&amp;S121, $Q$2:$Q$142, ""PASS""), """")"),74.0)</f>
        <v>74</v>
      </c>
      <c r="U121" s="8">
        <f t="shared" si="4"/>
        <v>16.95833333</v>
      </c>
      <c r="V121" s="12" t="s">
        <v>31</v>
      </c>
      <c r="W121" s="13">
        <v>1.34027932E8</v>
      </c>
      <c r="X121" s="13">
        <v>76.6927</v>
      </c>
      <c r="Y121" s="13" t="str">
        <f>IFERROR(__xludf.DUMMYFUNCTION("IF(V121=""PASS"", RANK.EQ(W121, FILTER($W$2:$W$142, $V$2:$V$142=""PASS""), 1) + COUNTIFS($W$2:$W$142, W121, $X$2:$X$142, ""&lt;""&amp;X121, $V$2:$V$142, ""PASS""), """")"),"")</f>
        <v/>
      </c>
      <c r="Z121" s="14">
        <f t="shared" si="5"/>
        <v>15</v>
      </c>
      <c r="AA121" s="10">
        <f t="shared" si="6"/>
        <v>81.92528732</v>
      </c>
      <c r="AB121" s="11" t="b">
        <v>0</v>
      </c>
      <c r="AC121" s="8">
        <f t="shared" si="8"/>
        <v>81.92528732</v>
      </c>
      <c r="AD121" s="7"/>
    </row>
    <row r="122">
      <c r="A122" s="5">
        <v>3.14580031E8</v>
      </c>
      <c r="B122" s="6" t="s">
        <v>29</v>
      </c>
      <c r="C122" s="7">
        <v>783244.0</v>
      </c>
      <c r="D122" s="7">
        <v>3.7178</v>
      </c>
      <c r="E122" s="7">
        <f>IFERROR(__xludf.DUMMYFUNCTION("IF(B122=""PASS"", RANK.EQ(C122, FILTER($C$2:$C$142, $B$2:$B$142=""PASS""), 1) + COUNTIFS($C$2:$C$142, C122, $D$2:$D$142, ""&lt;""&amp;D122, $B$2:$B$142, ""PASS""), """")"),55.0)</f>
        <v>55</v>
      </c>
      <c r="F122" s="8">
        <f t="shared" si="1"/>
        <v>17.90697674</v>
      </c>
      <c r="G122" s="6" t="s">
        <v>29</v>
      </c>
      <c r="H122" s="7">
        <v>3534802.0</v>
      </c>
      <c r="I122" s="7">
        <v>60.5376</v>
      </c>
      <c r="J122" s="7">
        <f>IFERROR(__xludf.DUMMYFUNCTION("IF(G122=""PASS"", RANK.EQ(H122, FILTER($H$2:$H$142, $G$2:$G$142=""PASS""), 1) + COUNTIFS($H$2:$H$142, H122, $I$2:$I$142, ""&lt;""&amp;I122, $G$2:$G$142, ""PASS""), """")"),52.0)</f>
        <v>52</v>
      </c>
      <c r="K122" s="8">
        <f t="shared" si="2"/>
        <v>18.0078125</v>
      </c>
      <c r="L122" s="6" t="s">
        <v>29</v>
      </c>
      <c r="M122" s="7">
        <v>1.523698E7</v>
      </c>
      <c r="N122" s="7">
        <v>170.5594</v>
      </c>
      <c r="O122" s="7">
        <f>IFERROR(__xludf.DUMMYFUNCTION("IF(L122=""PASS"", RANK.EQ(M122, FILTER($M$2:$M$142, $L$2:$L$142=""PASS""), 1) + COUNTIFS($M$2:$M$142, M122, $N$2:$N$142, ""&lt;""&amp;N122, $L$2:$L$142, ""PASS""), """")"),44.0)</f>
        <v>44</v>
      </c>
      <c r="P122" s="8">
        <f t="shared" si="3"/>
        <v>18.23770492</v>
      </c>
      <c r="Q122" s="6" t="s">
        <v>29</v>
      </c>
      <c r="R122" s="7">
        <v>1.531734E7</v>
      </c>
      <c r="S122" s="7">
        <v>170.5232</v>
      </c>
      <c r="T122" s="7">
        <f>IFERROR(__xludf.DUMMYFUNCTION("IF(Q122=""PASS"", RANK.EQ(R122, FILTER($R$2:$R$142, $Q$2:$Q$142=""PASS""), 1) + COUNTIFS($R$2:$R$142, R122, $S$2:$S$142, ""&lt;""&amp;S122, $Q$2:$Q$142, ""PASS""), """")"),44.0)</f>
        <v>44</v>
      </c>
      <c r="U122" s="8">
        <f t="shared" si="4"/>
        <v>18.20833333</v>
      </c>
      <c r="V122" s="6" t="s">
        <v>29</v>
      </c>
      <c r="W122" s="7">
        <v>1.28625339E8</v>
      </c>
      <c r="X122" s="7">
        <v>172.9861</v>
      </c>
      <c r="Y122" s="7">
        <f>IFERROR(__xludf.DUMMYFUNCTION("IF(V122=""PASS"", RANK.EQ(W122, FILTER($W$2:$W$142, $V$2:$V$142=""PASS""), 1) + COUNTIFS($W$2:$W$142, W122, $X$2:$X$142, ""&lt;""&amp;X122, $V$2:$V$142, ""PASS""), """")"),56.0)</f>
        <v>56</v>
      </c>
      <c r="Z122" s="8">
        <f t="shared" si="5"/>
        <v>16.68674699</v>
      </c>
      <c r="AA122" s="10">
        <f t="shared" si="6"/>
        <v>89.04757448</v>
      </c>
      <c r="AB122" s="11" t="b">
        <v>0</v>
      </c>
      <c r="AC122" s="8">
        <f t="shared" si="8"/>
        <v>89.04757448</v>
      </c>
      <c r="AD122" s="7"/>
    </row>
    <row r="123">
      <c r="A123" s="5">
        <v>3.14580046E8</v>
      </c>
      <c r="B123" s="6" t="s">
        <v>29</v>
      </c>
      <c r="C123" s="7">
        <v>691472.0</v>
      </c>
      <c r="D123" s="7">
        <v>5.567</v>
      </c>
      <c r="E123" s="7">
        <f>IFERROR(__xludf.DUMMYFUNCTION("IF(B123=""PASS"", RANK.EQ(C123, FILTER($C$2:$C$142, $B$2:$B$142=""PASS""), 1) + COUNTIFS($C$2:$C$142, C123, $D$2:$D$142, ""&lt;""&amp;D123, $B$2:$B$142, ""PASS""), """")"),39.0)</f>
        <v>39</v>
      </c>
      <c r="F123" s="8">
        <f t="shared" si="1"/>
        <v>18.52713178</v>
      </c>
      <c r="G123" s="6" t="s">
        <v>29</v>
      </c>
      <c r="H123" s="7">
        <v>3018007.0</v>
      </c>
      <c r="I123" s="7">
        <v>34.0255</v>
      </c>
      <c r="J123" s="7">
        <f>IFERROR(__xludf.DUMMYFUNCTION("IF(G123=""PASS"", RANK.EQ(H123, FILTER($H$2:$H$142, $G$2:$G$142=""PASS""), 1) + COUNTIFS($H$2:$H$142, H123, $I$2:$I$142, ""&lt;""&amp;I123, $G$2:$G$142, ""PASS""), """")"),31.0)</f>
        <v>31</v>
      </c>
      <c r="K123" s="8">
        <f t="shared" si="2"/>
        <v>18.828125</v>
      </c>
      <c r="L123" s="6" t="s">
        <v>29</v>
      </c>
      <c r="M123" s="7">
        <v>1.2966872E7</v>
      </c>
      <c r="N123" s="7">
        <v>125.9823</v>
      </c>
      <c r="O123" s="7">
        <f>IFERROR(__xludf.DUMMYFUNCTION("IF(L123=""PASS"", RANK.EQ(M123, FILTER($M$2:$M$142, $L$2:$L$142=""PASS""), 1) + COUNTIFS($M$2:$M$142, M123, $N$2:$N$142, ""&lt;""&amp;N123, $L$2:$L$142, ""PASS""), """")"),25.0)</f>
        <v>25</v>
      </c>
      <c r="P123" s="8">
        <f t="shared" si="3"/>
        <v>19.01639344</v>
      </c>
      <c r="Q123" s="6" t="s">
        <v>29</v>
      </c>
      <c r="R123" s="7">
        <v>1.2976973E7</v>
      </c>
      <c r="S123" s="7">
        <v>130.38</v>
      </c>
      <c r="T123" s="7">
        <f>IFERROR(__xludf.DUMMYFUNCTION("IF(Q123=""PASS"", RANK.EQ(R123, FILTER($R$2:$R$142, $Q$2:$Q$142=""PASS""), 1) + COUNTIFS($R$2:$R$142, R123, $S$2:$S$142, ""&lt;""&amp;S123, $Q$2:$Q$142, ""PASS""), """")"),26.0)</f>
        <v>26</v>
      </c>
      <c r="U123" s="8">
        <f t="shared" si="4"/>
        <v>18.95833333</v>
      </c>
      <c r="V123" s="6" t="s">
        <v>29</v>
      </c>
      <c r="W123" s="7">
        <v>1.28625339E8</v>
      </c>
      <c r="X123" s="7">
        <v>147.2623</v>
      </c>
      <c r="Y123" s="7">
        <f>IFERROR(__xludf.DUMMYFUNCTION("IF(V123=""PASS"", RANK.EQ(W123, FILTER($W$2:$W$142, $V$2:$V$142=""PASS""), 1) + COUNTIFS($W$2:$W$142, W123, $X$2:$X$142, ""&lt;""&amp;X123, $V$2:$V$142, ""PASS""), """")"),52.0)</f>
        <v>52</v>
      </c>
      <c r="Z123" s="8">
        <f t="shared" si="5"/>
        <v>16.92771084</v>
      </c>
      <c r="AA123" s="10">
        <f t="shared" si="6"/>
        <v>92.2576944</v>
      </c>
      <c r="AB123" s="11" t="b">
        <v>0</v>
      </c>
      <c r="AC123" s="8">
        <f t="shared" si="8"/>
        <v>92.2576944</v>
      </c>
      <c r="AD123" s="7"/>
    </row>
    <row r="124">
      <c r="A124" s="5">
        <v>3.14580047E8</v>
      </c>
      <c r="B124" s="6" t="s">
        <v>29</v>
      </c>
      <c r="C124" s="7">
        <v>650498.0</v>
      </c>
      <c r="D124" s="7">
        <v>1.6661</v>
      </c>
      <c r="E124" s="7">
        <f>IFERROR(__xludf.DUMMYFUNCTION("IF(B124=""PASS"", RANK.EQ(C124, FILTER($C$2:$C$142, $B$2:$B$142=""PASS""), 1) + COUNTIFS($C$2:$C$142, C124, $D$2:$D$142, ""&lt;""&amp;D124, $B$2:$B$142, ""PASS""), """")"),12.0)</f>
        <v>12</v>
      </c>
      <c r="F124" s="8">
        <f t="shared" si="1"/>
        <v>19.57364341</v>
      </c>
      <c r="G124" s="6" t="s">
        <v>29</v>
      </c>
      <c r="H124" s="7">
        <v>2724496.0</v>
      </c>
      <c r="I124" s="7">
        <v>20.1282</v>
      </c>
      <c r="J124" s="7">
        <f>IFERROR(__xludf.DUMMYFUNCTION("IF(G124=""PASS"", RANK.EQ(H124, FILTER($H$2:$H$142, $G$2:$G$142=""PASS""), 1) + COUNTIFS($H$2:$H$142, H124, $I$2:$I$142, ""&lt;""&amp;I124, $G$2:$G$142, ""PASS""), """")"),11.0)</f>
        <v>11</v>
      </c>
      <c r="K124" s="8">
        <f t="shared" si="2"/>
        <v>19.609375</v>
      </c>
      <c r="L124" s="6" t="s">
        <v>29</v>
      </c>
      <c r="M124" s="7">
        <v>1.3194698E7</v>
      </c>
      <c r="N124" s="7">
        <v>175.4094</v>
      </c>
      <c r="O124" s="7">
        <f>IFERROR(__xludf.DUMMYFUNCTION("IF(L124=""PASS"", RANK.EQ(M124, FILTER($M$2:$M$142, $L$2:$L$142=""PASS""), 1) + COUNTIFS($M$2:$M$142, M124, $N$2:$N$142, ""&lt;""&amp;N124, $L$2:$L$142, ""PASS""), """")"),36.0)</f>
        <v>36</v>
      </c>
      <c r="P124" s="8">
        <f t="shared" si="3"/>
        <v>18.56557377</v>
      </c>
      <c r="Q124" s="6" t="s">
        <v>29</v>
      </c>
      <c r="R124" s="7">
        <v>1.3190002E7</v>
      </c>
      <c r="S124" s="7">
        <v>175.4117</v>
      </c>
      <c r="T124" s="7">
        <f>IFERROR(__xludf.DUMMYFUNCTION("IF(Q124=""PASS"", RANK.EQ(R124, FILTER($R$2:$R$142, $Q$2:$Q$142=""PASS""), 1) + COUNTIFS($R$2:$R$142, R124, $S$2:$S$142, ""&lt;""&amp;S124, $Q$2:$Q$142, ""PASS""), """")"),36.0)</f>
        <v>36</v>
      </c>
      <c r="U124" s="8">
        <f t="shared" si="4"/>
        <v>18.54166667</v>
      </c>
      <c r="V124" s="6" t="s">
        <v>29</v>
      </c>
      <c r="W124" s="7">
        <v>1.33549163E8</v>
      </c>
      <c r="X124" s="7">
        <v>180.027</v>
      </c>
      <c r="Y124" s="7">
        <f>IFERROR(__xludf.DUMMYFUNCTION("IF(V124=""PASS"", RANK.EQ(W124, FILTER($W$2:$W$142, $V$2:$V$142=""PASS""), 1) + COUNTIFS($W$2:$W$142, W124, $X$2:$X$142, ""&lt;""&amp;X124, $V$2:$V$142, ""PASS""), """")"),70.0)</f>
        <v>70</v>
      </c>
      <c r="Z124" s="8">
        <f t="shared" si="5"/>
        <v>15.84337349</v>
      </c>
      <c r="AA124" s="10">
        <f t="shared" si="6"/>
        <v>92.13363234</v>
      </c>
      <c r="AB124" s="11" t="b">
        <v>1</v>
      </c>
      <c r="AC124" s="8">
        <f t="shared" si="8"/>
        <v>87.13363234</v>
      </c>
      <c r="AD124" s="7"/>
    </row>
    <row r="125">
      <c r="A125" s="5">
        <v>3.14580053E8</v>
      </c>
      <c r="B125" s="6" t="s">
        <v>29</v>
      </c>
      <c r="C125" s="7">
        <v>691719.0</v>
      </c>
      <c r="D125" s="7">
        <v>0.9393</v>
      </c>
      <c r="E125" s="7">
        <f>IFERROR(__xludf.DUMMYFUNCTION("IF(B125=""PASS"", RANK.EQ(C125, FILTER($C$2:$C$142, $B$2:$B$142=""PASS""), 1) + COUNTIFS($C$2:$C$142, C125, $D$2:$D$142, ""&lt;""&amp;D125, $B$2:$B$142, ""PASS""), """")"),43.0)</f>
        <v>43</v>
      </c>
      <c r="F125" s="8">
        <f t="shared" si="1"/>
        <v>18.37209302</v>
      </c>
      <c r="G125" s="6" t="s">
        <v>29</v>
      </c>
      <c r="H125" s="7">
        <v>3019610.0</v>
      </c>
      <c r="I125" s="7">
        <v>5.148</v>
      </c>
      <c r="J125" s="7">
        <f>IFERROR(__xludf.DUMMYFUNCTION("IF(G125=""PASS"", RANK.EQ(H125, FILTER($H$2:$H$142, $G$2:$G$142=""PASS""), 1) + COUNTIFS($H$2:$H$142, H125, $I$2:$I$142, ""&lt;""&amp;I125, $G$2:$G$142, ""PASS""), """")"),34.0)</f>
        <v>34</v>
      </c>
      <c r="K125" s="8">
        <f t="shared" si="2"/>
        <v>18.7109375</v>
      </c>
      <c r="L125" s="6" t="s">
        <v>29</v>
      </c>
      <c r="M125" s="7">
        <v>1.297636E7</v>
      </c>
      <c r="N125" s="7">
        <v>22.5994</v>
      </c>
      <c r="O125" s="7">
        <f>IFERROR(__xludf.DUMMYFUNCTION("IF(L125=""PASS"", RANK.EQ(M125, FILTER($M$2:$M$142, $L$2:$L$142=""PASS""), 1) + COUNTIFS($M$2:$M$142, M125, $N$2:$N$142, ""&lt;""&amp;N125, $L$2:$L$142, ""PASS""), """")"),29.0)</f>
        <v>29</v>
      </c>
      <c r="P125" s="8">
        <f t="shared" si="3"/>
        <v>18.85245902</v>
      </c>
      <c r="Q125" s="6" t="s">
        <v>29</v>
      </c>
      <c r="R125" s="7">
        <v>1.2981834E7</v>
      </c>
      <c r="S125" s="7">
        <v>23.4876</v>
      </c>
      <c r="T125" s="7">
        <f>IFERROR(__xludf.DUMMYFUNCTION("IF(Q125=""PASS"", RANK.EQ(R125, FILTER($R$2:$R$142, $Q$2:$Q$142=""PASS""), 1) + COUNTIFS($R$2:$R$142, R125, $S$2:$S$142, ""&lt;""&amp;S125, $Q$2:$Q$142, ""PASS""), """")"),29.0)</f>
        <v>29</v>
      </c>
      <c r="U125" s="8">
        <f t="shared" si="4"/>
        <v>18.83333333</v>
      </c>
      <c r="V125" s="6" t="s">
        <v>29</v>
      </c>
      <c r="W125" s="7">
        <v>1.28625339E8</v>
      </c>
      <c r="X125" s="7">
        <v>93.8671</v>
      </c>
      <c r="Y125" s="7">
        <f>IFERROR(__xludf.DUMMYFUNCTION("IF(V125=""PASS"", RANK.EQ(W125, FILTER($W$2:$W$142, $V$2:$V$142=""PASS""), 1) + COUNTIFS($W$2:$W$142, W125, $X$2:$X$142, ""&lt;""&amp;X125, $V$2:$V$142, ""PASS""), """")"),43.0)</f>
        <v>43</v>
      </c>
      <c r="Z125" s="8">
        <f t="shared" si="5"/>
        <v>17.46987952</v>
      </c>
      <c r="AA125" s="10">
        <f t="shared" si="6"/>
        <v>92.23870239</v>
      </c>
      <c r="AB125" s="11" t="b">
        <v>1</v>
      </c>
      <c r="AC125" s="8">
        <f t="shared" si="8"/>
        <v>87.23870239</v>
      </c>
      <c r="AD125" s="7"/>
    </row>
    <row r="126">
      <c r="A126" s="5">
        <v>3.14580055E8</v>
      </c>
      <c r="B126" s="6" t="s">
        <v>29</v>
      </c>
      <c r="C126" s="7">
        <v>786505.0</v>
      </c>
      <c r="D126" s="7">
        <v>1.6178</v>
      </c>
      <c r="E126" s="7">
        <f>IFERROR(__xludf.DUMMYFUNCTION("IF(B126=""PASS"", RANK.EQ(C126, FILTER($C$2:$C$142, $B$2:$B$142=""PASS""), 1) + COUNTIFS($C$2:$C$142, C126, $D$2:$D$142, ""&lt;""&amp;D126, $B$2:$B$142, ""PASS""), """")"),62.0)</f>
        <v>62</v>
      </c>
      <c r="F126" s="8">
        <f t="shared" si="1"/>
        <v>17.63565891</v>
      </c>
      <c r="G126" s="6" t="s">
        <v>29</v>
      </c>
      <c r="H126" s="7">
        <v>3554943.0</v>
      </c>
      <c r="I126" s="7">
        <v>13.1297</v>
      </c>
      <c r="J126" s="7">
        <f>IFERROR(__xludf.DUMMYFUNCTION("IF(G126=""PASS"", RANK.EQ(H126, FILTER($H$2:$H$142, $G$2:$G$142=""PASS""), 1) + COUNTIFS($H$2:$H$142, H126, $I$2:$I$142, ""&lt;""&amp;I126, $G$2:$G$142, ""PASS""), """")"),61.0)</f>
        <v>61</v>
      </c>
      <c r="K126" s="8">
        <f t="shared" si="2"/>
        <v>17.65625</v>
      </c>
      <c r="L126" s="6" t="s">
        <v>29</v>
      </c>
      <c r="M126" s="7">
        <v>1.5339331E7</v>
      </c>
      <c r="N126" s="7">
        <v>156.4731</v>
      </c>
      <c r="O126" s="7">
        <f>IFERROR(__xludf.DUMMYFUNCTION("IF(L126=""PASS"", RANK.EQ(M126, FILTER($M$2:$M$142, $L$2:$L$142=""PASS""), 1) + COUNTIFS($M$2:$M$142, M126, $N$2:$N$142, ""&lt;""&amp;N126, $L$2:$L$142, ""PASS""), """")"),53.0)</f>
        <v>53</v>
      </c>
      <c r="P126" s="8">
        <f t="shared" si="3"/>
        <v>17.86885246</v>
      </c>
      <c r="Q126" s="6" t="s">
        <v>29</v>
      </c>
      <c r="R126" s="7">
        <v>1.5593361E7</v>
      </c>
      <c r="S126" s="7">
        <v>163.1167</v>
      </c>
      <c r="T126" s="7">
        <f>IFERROR(__xludf.DUMMYFUNCTION("IF(Q126=""PASS"", RANK.EQ(R126, FILTER($R$2:$R$142, $Q$2:$Q$142=""PASS""), 1) + COUNTIFS($R$2:$R$142, R126, $S$2:$S$142, ""&lt;""&amp;S126, $Q$2:$Q$142, ""PASS""), """")"),53.0)</f>
        <v>53</v>
      </c>
      <c r="U126" s="8">
        <f t="shared" si="4"/>
        <v>17.83333333</v>
      </c>
      <c r="V126" s="6" t="s">
        <v>29</v>
      </c>
      <c r="W126" s="7">
        <v>1.33950573E8</v>
      </c>
      <c r="X126" s="7">
        <v>180.0757</v>
      </c>
      <c r="Y126" s="7">
        <f>IFERROR(__xludf.DUMMYFUNCTION("IF(V126=""PASS"", RANK.EQ(W126, FILTER($W$2:$W$142, $V$2:$V$142=""PASS""), 1) + COUNTIFS($W$2:$W$142, W126, $X$2:$X$142, ""&lt;""&amp;X126, $V$2:$V$142, ""PASS""), """")"),72.0)</f>
        <v>72</v>
      </c>
      <c r="Z126" s="8">
        <f t="shared" si="5"/>
        <v>15.72289157</v>
      </c>
      <c r="AA126" s="10">
        <f t="shared" si="6"/>
        <v>86.71698627</v>
      </c>
      <c r="AB126" s="11" t="b">
        <v>0</v>
      </c>
      <c r="AC126" s="8">
        <f t="shared" si="8"/>
        <v>86.71698627</v>
      </c>
      <c r="AD126" s="7"/>
    </row>
    <row r="127">
      <c r="A127" s="5">
        <v>3.14580057E8</v>
      </c>
      <c r="B127" s="6" t="s">
        <v>29</v>
      </c>
      <c r="C127" s="7">
        <v>655329.0</v>
      </c>
      <c r="D127" s="7">
        <v>4.2105</v>
      </c>
      <c r="E127" s="7">
        <f>IFERROR(__xludf.DUMMYFUNCTION("IF(B127=""PASS"", RANK.EQ(C127, FILTER($C$2:$C$142, $B$2:$B$142=""PASS""), 1) + COUNTIFS($C$2:$C$142, C127, $D$2:$D$142, ""&lt;""&amp;D127, $B$2:$B$142, ""PASS""), """")"),15.0)</f>
        <v>15</v>
      </c>
      <c r="F127" s="8">
        <f t="shared" si="1"/>
        <v>19.45736434</v>
      </c>
      <c r="G127" s="6" t="s">
        <v>29</v>
      </c>
      <c r="H127" s="7">
        <v>2748838.0</v>
      </c>
      <c r="I127" s="7">
        <v>110.3541</v>
      </c>
      <c r="J127" s="7">
        <f>IFERROR(__xludf.DUMMYFUNCTION("IF(G127=""PASS"", RANK.EQ(H127, FILTER($H$2:$H$142, $G$2:$G$142=""PASS""), 1) + COUNTIFS($H$2:$H$142, H127, $I$2:$I$142, ""&lt;""&amp;I127, $G$2:$G$142, ""PASS""), """")"),12.0)</f>
        <v>12</v>
      </c>
      <c r="K127" s="8">
        <f t="shared" si="2"/>
        <v>19.5703125</v>
      </c>
      <c r="L127" s="6" t="s">
        <v>29</v>
      </c>
      <c r="M127" s="7">
        <v>1.6623907E7</v>
      </c>
      <c r="N127" s="7">
        <v>7.7944</v>
      </c>
      <c r="O127" s="7">
        <f>IFERROR(__xludf.DUMMYFUNCTION("IF(L127=""PASS"", RANK.EQ(M127, FILTER($M$2:$M$142, $L$2:$L$142=""PASS""), 1) + COUNTIFS($M$2:$M$142, M127, $N$2:$N$142, ""&lt;""&amp;N127, $L$2:$L$142, ""PASS""), """")"),57.0)</f>
        <v>57</v>
      </c>
      <c r="P127" s="8">
        <f t="shared" si="3"/>
        <v>17.70491803</v>
      </c>
      <c r="Q127" s="6" t="s">
        <v>29</v>
      </c>
      <c r="R127" s="7">
        <v>1.6849409E7</v>
      </c>
      <c r="S127" s="7">
        <v>8.098</v>
      </c>
      <c r="T127" s="7">
        <f>IFERROR(__xludf.DUMMYFUNCTION("IF(Q127=""PASS"", RANK.EQ(R127, FILTER($R$2:$R$142, $Q$2:$Q$142=""PASS""), 1) + COUNTIFS($R$2:$R$142, R127, $S$2:$S$142, ""&lt;""&amp;S127, $Q$2:$Q$142, ""PASS""), """")"),57.0)</f>
        <v>57</v>
      </c>
      <c r="U127" s="8">
        <f t="shared" si="4"/>
        <v>17.66666667</v>
      </c>
      <c r="V127" s="12" t="s">
        <v>31</v>
      </c>
      <c r="W127" s="13">
        <v>1.34217743E8</v>
      </c>
      <c r="X127" s="13">
        <v>3.8887</v>
      </c>
      <c r="Y127" s="13" t="str">
        <f>IFERROR(__xludf.DUMMYFUNCTION("IF(V127=""PASS"", RANK.EQ(W127, FILTER($W$2:$W$142, $V$2:$V$142=""PASS""), 1) + COUNTIFS($W$2:$W$142, W127, $X$2:$X$142, ""&lt;""&amp;X127, $V$2:$V$142, ""PASS""), """")"),"")</f>
        <v/>
      </c>
      <c r="Z127" s="14">
        <f t="shared" si="5"/>
        <v>15</v>
      </c>
      <c r="AA127" s="10">
        <f t="shared" si="6"/>
        <v>89.39926154</v>
      </c>
      <c r="AB127" s="15" t="b">
        <v>1</v>
      </c>
      <c r="AC127" s="8">
        <f t="shared" si="8"/>
        <v>84.39926154</v>
      </c>
      <c r="AD127" s="7"/>
    </row>
    <row r="128">
      <c r="A128" s="5">
        <v>3.14580068E8</v>
      </c>
      <c r="B128" s="6" t="s">
        <v>29</v>
      </c>
      <c r="C128" s="7">
        <v>1529825.0</v>
      </c>
      <c r="D128" s="7">
        <v>0.7235</v>
      </c>
      <c r="E128" s="7">
        <f>IFERROR(__xludf.DUMMYFUNCTION("IF(B128=""PASS"", RANK.EQ(C128, FILTER($C$2:$C$142, $B$2:$B$142=""PASS""), 1) + COUNTIFS($C$2:$C$142, C128, $D$2:$D$142, ""&lt;""&amp;D128, $B$2:$B$142, ""PASS""), """")"),117.0)</f>
        <v>117</v>
      </c>
      <c r="F128" s="8">
        <f t="shared" si="1"/>
        <v>15.50387597</v>
      </c>
      <c r="G128" s="6" t="s">
        <v>29</v>
      </c>
      <c r="H128" s="7">
        <v>8275573.0</v>
      </c>
      <c r="I128" s="7">
        <v>3.638</v>
      </c>
      <c r="J128" s="7">
        <f>IFERROR(__xludf.DUMMYFUNCTION("IF(G128=""PASS"", RANK.EQ(H128, FILTER($H$2:$H$142, $G$2:$G$142=""PASS""), 1) + COUNTIFS($H$2:$H$142, H128, $I$2:$I$142, ""&lt;""&amp;I128, $G$2:$G$142, ""PASS""), """")"),111.0)</f>
        <v>111</v>
      </c>
      <c r="K128" s="8">
        <f t="shared" si="2"/>
        <v>15.703125</v>
      </c>
      <c r="L128" s="6" t="s">
        <v>29</v>
      </c>
      <c r="M128" s="7">
        <v>3.5713785E7</v>
      </c>
      <c r="N128" s="7">
        <v>14.3887</v>
      </c>
      <c r="O128" s="7">
        <f>IFERROR(__xludf.DUMMYFUNCTION("IF(L128=""PASS"", RANK.EQ(M128, FILTER($M$2:$M$142, $L$2:$L$142=""PASS""), 1) + COUNTIFS($M$2:$M$142, M128, $N$2:$N$142, ""&lt;""&amp;N128, $L$2:$L$142, ""PASS""), """")"),99.0)</f>
        <v>99</v>
      </c>
      <c r="P128" s="8">
        <f t="shared" si="3"/>
        <v>15.98360656</v>
      </c>
      <c r="Q128" s="12" t="s">
        <v>31</v>
      </c>
      <c r="R128" s="13">
        <v>3.8663191E7</v>
      </c>
      <c r="S128" s="13">
        <v>10.1476</v>
      </c>
      <c r="T128" s="13" t="str">
        <f>IFERROR(__xludf.DUMMYFUNCTION("IF(Q128=""PASS"", RANK.EQ(R128, FILTER($R$2:$R$142, $Q$2:$Q$142=""PASS""), 1) + COUNTIFS($R$2:$R$142, R128, $S$2:$S$142, ""&lt;""&amp;S128, $Q$2:$Q$142, ""PASS""), """")"),"")</f>
        <v/>
      </c>
      <c r="U128" s="14">
        <f t="shared" si="4"/>
        <v>15</v>
      </c>
      <c r="V128" s="12" t="s">
        <v>31</v>
      </c>
      <c r="W128" s="13">
        <v>1.34217742E8</v>
      </c>
      <c r="X128" s="13">
        <v>45.629</v>
      </c>
      <c r="Y128" s="13" t="str">
        <f>IFERROR(__xludf.DUMMYFUNCTION("IF(V128=""PASS"", RANK.EQ(W128, FILTER($W$2:$W$142, $V$2:$V$142=""PASS""), 1) + COUNTIFS($W$2:$W$142, W128, $X$2:$X$142, ""&lt;""&amp;X128, $V$2:$V$142, ""PASS""), """")"),"")</f>
        <v/>
      </c>
      <c r="Z128" s="14">
        <f t="shared" si="5"/>
        <v>15</v>
      </c>
      <c r="AA128" s="10">
        <f t="shared" si="6"/>
        <v>77.19060753</v>
      </c>
      <c r="AB128" s="11" t="b">
        <v>0</v>
      </c>
      <c r="AC128" s="8">
        <f t="shared" si="8"/>
        <v>77.19060753</v>
      </c>
      <c r="AD128" s="7"/>
    </row>
    <row r="129">
      <c r="A129" s="5">
        <v>3.14580075E8</v>
      </c>
      <c r="B129" s="6" t="s">
        <v>29</v>
      </c>
      <c r="C129" s="7">
        <v>650516.0</v>
      </c>
      <c r="D129" s="7">
        <v>102.3773</v>
      </c>
      <c r="E129" s="7">
        <f>IFERROR(__xludf.DUMMYFUNCTION("IF(B129=""PASS"", RANK.EQ(C129, FILTER($C$2:$C$142, $B$2:$B$142=""PASS""), 1) + COUNTIFS($C$2:$C$142, C129, $D$2:$D$142, ""&lt;""&amp;D129, $B$2:$B$142, ""PASS""), """")"),13.0)</f>
        <v>13</v>
      </c>
      <c r="F129" s="8">
        <f t="shared" si="1"/>
        <v>19.53488372</v>
      </c>
      <c r="G129" s="6" t="s">
        <v>29</v>
      </c>
      <c r="H129" s="7">
        <v>2758810.0</v>
      </c>
      <c r="I129" s="7">
        <v>140.655</v>
      </c>
      <c r="J129" s="7">
        <f>IFERROR(__xludf.DUMMYFUNCTION("IF(G129=""PASS"", RANK.EQ(H129, FILTER($H$2:$H$142, $G$2:$G$142=""PASS""), 1) + COUNTIFS($H$2:$H$142, H129, $I$2:$I$142, ""&lt;""&amp;I129, $G$2:$G$142, ""PASS""), """")"),13.0)</f>
        <v>13</v>
      </c>
      <c r="K129" s="8">
        <f t="shared" si="2"/>
        <v>19.53125</v>
      </c>
      <c r="L129" s="6" t="s">
        <v>29</v>
      </c>
      <c r="M129" s="7">
        <v>1.2034313E7</v>
      </c>
      <c r="N129" s="7">
        <v>68.7135</v>
      </c>
      <c r="O129" s="7">
        <f>IFERROR(__xludf.DUMMYFUNCTION("IF(L129=""PASS"", RANK.EQ(M129, FILTER($M$2:$M$142, $L$2:$L$142=""PASS""), 1) + COUNTIFS($M$2:$M$142, M129, $N$2:$N$142, ""&lt;""&amp;N129, $L$2:$L$142, ""PASS""), """")"),10.0)</f>
        <v>10</v>
      </c>
      <c r="P129" s="8">
        <f t="shared" si="3"/>
        <v>19.63114754</v>
      </c>
      <c r="Q129" s="6" t="s">
        <v>29</v>
      </c>
      <c r="R129" s="7">
        <v>1.2014298E7</v>
      </c>
      <c r="S129" s="7">
        <v>69.4936</v>
      </c>
      <c r="T129" s="7">
        <f>IFERROR(__xludf.DUMMYFUNCTION("IF(Q129=""PASS"", RANK.EQ(R129, FILTER($R$2:$R$142, $Q$2:$Q$142=""PASS""), 1) + COUNTIFS($R$2:$R$142, R129, $S$2:$S$142, ""&lt;""&amp;S129, $Q$2:$Q$142, ""PASS""), """")"),10.0)</f>
        <v>10</v>
      </c>
      <c r="U129" s="8">
        <f t="shared" si="4"/>
        <v>19.625</v>
      </c>
      <c r="V129" s="12" t="s">
        <v>31</v>
      </c>
      <c r="W129" s="13">
        <v>1.28625339E8</v>
      </c>
      <c r="X129" s="13">
        <v>109.7446</v>
      </c>
      <c r="Y129" s="13" t="str">
        <f>IFERROR(__xludf.DUMMYFUNCTION("IF(V129=""PASS"", RANK.EQ(W129, FILTER($W$2:$W$142, $V$2:$V$142=""PASS""), 1) + COUNTIFS($W$2:$W$142, W129, $X$2:$X$142, ""&lt;""&amp;X129, $V$2:$V$142, ""PASS""), """")"),"")</f>
        <v/>
      </c>
      <c r="Z129" s="14">
        <f t="shared" si="5"/>
        <v>15</v>
      </c>
      <c r="AA129" s="10">
        <f t="shared" si="6"/>
        <v>93.32228126</v>
      </c>
      <c r="AB129" s="15" t="b">
        <v>1</v>
      </c>
      <c r="AC129" s="8">
        <f t="shared" si="8"/>
        <v>88.32228126</v>
      </c>
      <c r="AD129" s="7"/>
    </row>
    <row r="130">
      <c r="A130" s="5">
        <v>3.1458101E8</v>
      </c>
      <c r="B130" s="6" t="s">
        <v>29</v>
      </c>
      <c r="C130" s="7">
        <v>658797.0</v>
      </c>
      <c r="D130" s="7">
        <v>13.3253</v>
      </c>
      <c r="E130" s="7">
        <f>IFERROR(__xludf.DUMMYFUNCTION("IF(B130=""PASS"", RANK.EQ(C130, FILTER($C$2:$C$142, $B$2:$B$142=""PASS""), 1) + COUNTIFS($C$2:$C$142, C130, $D$2:$D$142, ""&lt;""&amp;D130, $B$2:$B$142, ""PASS""), """")"),18.0)</f>
        <v>18</v>
      </c>
      <c r="F130" s="8">
        <f t="shared" si="1"/>
        <v>19.34108527</v>
      </c>
      <c r="G130" s="6" t="s">
        <v>29</v>
      </c>
      <c r="H130" s="7">
        <v>2804670.0</v>
      </c>
      <c r="I130" s="7">
        <v>74.1515</v>
      </c>
      <c r="J130" s="7">
        <f>IFERROR(__xludf.DUMMYFUNCTION("IF(G130=""PASS"", RANK.EQ(H130, FILTER($H$2:$H$142, $G$2:$G$142=""PASS""), 1) + COUNTIFS($H$2:$H$142, H130, $I$2:$I$142, ""&lt;""&amp;I130, $G$2:$G$142, ""PASS""), """")"),15.0)</f>
        <v>15</v>
      </c>
      <c r="K130" s="8">
        <f t="shared" si="2"/>
        <v>19.453125</v>
      </c>
      <c r="L130" s="12" t="s">
        <v>31</v>
      </c>
      <c r="M130" s="13">
        <v>2.6790157E7</v>
      </c>
      <c r="N130" s="13">
        <v>2.6094</v>
      </c>
      <c r="O130" s="13" t="str">
        <f>IFERROR(__xludf.DUMMYFUNCTION("IF(L130=""PASS"", RANK.EQ(M130, FILTER($M$2:$M$142, $L$2:$L$142=""PASS""), 1) + COUNTIFS($M$2:$M$142, M130, $N$2:$N$142, ""&lt;""&amp;N130, $L$2:$L$142, ""PASS""), """")"),"")</f>
        <v/>
      </c>
      <c r="P130" s="14">
        <f t="shared" si="3"/>
        <v>15</v>
      </c>
      <c r="Q130" s="12" t="s">
        <v>31</v>
      </c>
      <c r="R130" s="13">
        <v>2.7524659E7</v>
      </c>
      <c r="S130" s="13">
        <v>2.6203</v>
      </c>
      <c r="T130" s="13" t="str">
        <f>IFERROR(__xludf.DUMMYFUNCTION("IF(Q130=""PASS"", RANK.EQ(R130, FILTER($R$2:$R$142, $Q$2:$Q$142=""PASS""), 1) + COUNTIFS($R$2:$R$142, R130, $S$2:$S$142, ""&lt;""&amp;S130, $Q$2:$Q$142, ""PASS""), """")"),"")</f>
        <v/>
      </c>
      <c r="U130" s="14">
        <f t="shared" si="4"/>
        <v>15</v>
      </c>
      <c r="V130" s="12" t="s">
        <v>31</v>
      </c>
      <c r="W130" s="13">
        <v>1.28625339E8</v>
      </c>
      <c r="X130" s="13">
        <v>9.6829</v>
      </c>
      <c r="Y130" s="13" t="str">
        <f>IFERROR(__xludf.DUMMYFUNCTION("IF(V130=""PASS"", RANK.EQ(W130, FILTER($W$2:$W$142, $V$2:$V$142=""PASS""), 1) + COUNTIFS($W$2:$W$142, W130, $X$2:$X$142, ""&lt;""&amp;X130, $V$2:$V$142, ""PASS""), """")"),"")</f>
        <v/>
      </c>
      <c r="Z130" s="14">
        <f t="shared" si="5"/>
        <v>15</v>
      </c>
      <c r="AA130" s="10">
        <f t="shared" si="6"/>
        <v>83.79421027</v>
      </c>
      <c r="AB130" s="11" t="b">
        <v>0</v>
      </c>
      <c r="AC130" s="8">
        <f t="shared" si="8"/>
        <v>83.79421027</v>
      </c>
      <c r="AD130" s="7"/>
    </row>
    <row r="131">
      <c r="A131" s="5">
        <v>3.14591004E8</v>
      </c>
      <c r="B131" s="6" t="s">
        <v>29</v>
      </c>
      <c r="C131" s="7">
        <v>702479.0</v>
      </c>
      <c r="D131" s="7">
        <v>1.3134</v>
      </c>
      <c r="E131" s="7">
        <f>IFERROR(__xludf.DUMMYFUNCTION("IF(B131=""PASS"", RANK.EQ(C131, FILTER($C$2:$C$142, $B$2:$B$142=""PASS""), 1) + COUNTIFS($C$2:$C$142, C131, $D$2:$D$142, ""&lt;""&amp;D131, $B$2:$B$142, ""PASS""), """")"),45.0)</f>
        <v>45</v>
      </c>
      <c r="F131" s="8">
        <f t="shared" si="1"/>
        <v>18.29457364</v>
      </c>
      <c r="G131" s="6" t="s">
        <v>29</v>
      </c>
      <c r="H131" s="7">
        <v>3078273.0</v>
      </c>
      <c r="I131" s="7">
        <v>7.1098</v>
      </c>
      <c r="J131" s="7">
        <f>IFERROR(__xludf.DUMMYFUNCTION("IF(G131=""PASS"", RANK.EQ(H131, FILTER($H$2:$H$142, $G$2:$G$142=""PASS""), 1) + COUNTIFS($H$2:$H$142, H131, $I$2:$I$142, ""&lt;""&amp;I131, $G$2:$G$142, ""PASS""), """")"),44.0)</f>
        <v>44</v>
      </c>
      <c r="K131" s="8">
        <f t="shared" si="2"/>
        <v>18.3203125</v>
      </c>
      <c r="L131" s="6" t="s">
        <v>29</v>
      </c>
      <c r="M131" s="7">
        <v>1.3172301E7</v>
      </c>
      <c r="N131" s="7">
        <v>30.987</v>
      </c>
      <c r="O131" s="7">
        <f>IFERROR(__xludf.DUMMYFUNCTION("IF(L131=""PASS"", RANK.EQ(M131, FILTER($M$2:$M$142, $L$2:$L$142=""PASS""), 1) + COUNTIFS($M$2:$M$142, M131, $N$2:$N$142, ""&lt;""&amp;N131, $L$2:$L$142, ""PASS""), """")"),35.0)</f>
        <v>35</v>
      </c>
      <c r="P131" s="8">
        <f t="shared" si="3"/>
        <v>18.60655738</v>
      </c>
      <c r="Q131" s="6" t="s">
        <v>29</v>
      </c>
      <c r="R131" s="7">
        <v>1.3172421E7</v>
      </c>
      <c r="S131" s="7">
        <v>32.1188</v>
      </c>
      <c r="T131" s="7">
        <f>IFERROR(__xludf.DUMMYFUNCTION("IF(Q131=""PASS"", RANK.EQ(R131, FILTER($R$2:$R$142, $Q$2:$Q$142=""PASS""), 1) + COUNTIFS($R$2:$R$142, R131, $S$2:$S$142, ""&lt;""&amp;S131, $Q$2:$Q$142, ""PASS""), """")"),35.0)</f>
        <v>35</v>
      </c>
      <c r="U131" s="8">
        <f t="shared" si="4"/>
        <v>18.58333333</v>
      </c>
      <c r="V131" s="6" t="s">
        <v>29</v>
      </c>
      <c r="W131" s="7">
        <v>1.28625339E8</v>
      </c>
      <c r="X131" s="7">
        <v>140.0781</v>
      </c>
      <c r="Y131" s="7">
        <f>IFERROR(__xludf.DUMMYFUNCTION("IF(V131=""PASS"", RANK.EQ(W131, FILTER($W$2:$W$142, $V$2:$V$142=""PASS""), 1) + COUNTIFS($W$2:$W$142, W131, $X$2:$X$142, ""&lt;""&amp;X131, $V$2:$V$142, ""PASS""), """")"),50.0)</f>
        <v>50</v>
      </c>
      <c r="Z131" s="8">
        <f t="shared" si="5"/>
        <v>17.04819277</v>
      </c>
      <c r="AA131" s="10">
        <f t="shared" si="6"/>
        <v>90.85296962</v>
      </c>
      <c r="AB131" s="11" t="b">
        <v>1</v>
      </c>
      <c r="AC131" s="8">
        <f t="shared" si="8"/>
        <v>85.85296962</v>
      </c>
      <c r="AD131" s="7"/>
    </row>
    <row r="132">
      <c r="A132" s="5">
        <v>3.14591017E8</v>
      </c>
      <c r="B132" s="6" t="s">
        <v>29</v>
      </c>
      <c r="C132" s="7">
        <v>690169.0</v>
      </c>
      <c r="D132" s="7">
        <v>0.2408</v>
      </c>
      <c r="E132" s="7">
        <f>IFERROR(__xludf.DUMMYFUNCTION("IF(B132=""PASS"", RANK.EQ(C132, FILTER($C$2:$C$142, $B$2:$B$142=""PASS""), 1) + COUNTIFS($C$2:$C$142, C132, $D$2:$D$142, ""&lt;""&amp;D132, $B$2:$B$142, ""PASS""), """")"),33.0)</f>
        <v>33</v>
      </c>
      <c r="F132" s="8">
        <f t="shared" si="1"/>
        <v>18.75968992</v>
      </c>
      <c r="G132" s="6" t="s">
        <v>29</v>
      </c>
      <c r="H132" s="7">
        <v>3022202.0</v>
      </c>
      <c r="I132" s="7">
        <v>1.1955</v>
      </c>
      <c r="J132" s="7">
        <f>IFERROR(__xludf.DUMMYFUNCTION("IF(G132=""PASS"", RANK.EQ(H132, FILTER($H$2:$H$142, $G$2:$G$142=""PASS""), 1) + COUNTIFS($H$2:$H$142, H132, $I$2:$I$142, ""&lt;""&amp;I132, $G$2:$G$142, ""PASS""), """")"),42.0)</f>
        <v>42</v>
      </c>
      <c r="K132" s="8">
        <f t="shared" si="2"/>
        <v>18.3984375</v>
      </c>
      <c r="L132" s="6" t="s">
        <v>29</v>
      </c>
      <c r="M132" s="7">
        <v>1.297607E7</v>
      </c>
      <c r="N132" s="7">
        <v>5.276</v>
      </c>
      <c r="O132" s="7">
        <f>IFERROR(__xludf.DUMMYFUNCTION("IF(L132=""PASS"", RANK.EQ(M132, FILTER($M$2:$M$142, $L$2:$L$142=""PASS""), 1) + COUNTIFS($M$2:$M$142, M132, $N$2:$N$142, ""&lt;""&amp;N132, $L$2:$L$142, ""PASS""), """")"),28.0)</f>
        <v>28</v>
      </c>
      <c r="P132" s="8">
        <f t="shared" si="3"/>
        <v>18.89344262</v>
      </c>
      <c r="Q132" s="6" t="s">
        <v>29</v>
      </c>
      <c r="R132" s="7">
        <v>1.2984253E7</v>
      </c>
      <c r="S132" s="7">
        <v>5.3604</v>
      </c>
      <c r="T132" s="7">
        <f>IFERROR(__xludf.DUMMYFUNCTION("IF(Q132=""PASS"", RANK.EQ(R132, FILTER($R$2:$R$142, $Q$2:$Q$142=""PASS""), 1) + COUNTIFS($R$2:$R$142, R132, $S$2:$S$142, ""&lt;""&amp;S132, $Q$2:$Q$142, ""PASS""), """")"),30.0)</f>
        <v>30</v>
      </c>
      <c r="U132" s="8">
        <f t="shared" si="4"/>
        <v>18.79166667</v>
      </c>
      <c r="V132" s="6" t="s">
        <v>29</v>
      </c>
      <c r="W132" s="7">
        <v>1.28625339E8</v>
      </c>
      <c r="X132" s="7">
        <v>23.3357</v>
      </c>
      <c r="Y132" s="7">
        <f>IFERROR(__xludf.DUMMYFUNCTION("IF(V132=""PASS"", RANK.EQ(W132, FILTER($W$2:$W$142, $V$2:$V$142=""PASS""), 1) + COUNTIFS($W$2:$W$142, W132, $X$2:$X$142, ""&lt;""&amp;X132, $V$2:$V$142, ""PASS""), """")"),17.0)</f>
        <v>17</v>
      </c>
      <c r="Z132" s="8">
        <f t="shared" si="5"/>
        <v>19.03614458</v>
      </c>
      <c r="AA132" s="10">
        <f t="shared" si="6"/>
        <v>93.87938129</v>
      </c>
      <c r="AB132" s="11" t="b">
        <v>0</v>
      </c>
      <c r="AC132" s="8">
        <f t="shared" si="8"/>
        <v>93.87938129</v>
      </c>
      <c r="AD132" s="7"/>
    </row>
    <row r="133">
      <c r="A133" s="5">
        <v>3.14832015E8</v>
      </c>
      <c r="B133" s="6" t="s">
        <v>29</v>
      </c>
      <c r="C133" s="7">
        <v>787526.0</v>
      </c>
      <c r="D133" s="7">
        <v>0.2671</v>
      </c>
      <c r="E133" s="7">
        <f>IFERROR(__xludf.DUMMYFUNCTION("IF(B133=""PASS"", RANK.EQ(C133, FILTER($C$2:$C$142, $B$2:$B$142=""PASS""), 1) + COUNTIFS($C$2:$C$142, C133, $D$2:$D$142, ""&lt;""&amp;D133, $B$2:$B$142, ""PASS""), """")"),64.0)</f>
        <v>64</v>
      </c>
      <c r="F133" s="8">
        <f t="shared" si="1"/>
        <v>17.55813953</v>
      </c>
      <c r="G133" s="6" t="s">
        <v>29</v>
      </c>
      <c r="H133" s="7">
        <v>3557340.0</v>
      </c>
      <c r="I133" s="7">
        <v>1.4904</v>
      </c>
      <c r="J133" s="7">
        <f>IFERROR(__xludf.DUMMYFUNCTION("IF(G133=""PASS"", RANK.EQ(H133, FILTER($H$2:$H$142, $G$2:$G$142=""PASS""), 1) + COUNTIFS($H$2:$H$142, H133, $I$2:$I$142, ""&lt;""&amp;I133, $G$2:$G$142, ""PASS""), """")"),62.0)</f>
        <v>62</v>
      </c>
      <c r="K133" s="8">
        <f t="shared" si="2"/>
        <v>17.6171875</v>
      </c>
      <c r="L133" s="6" t="s">
        <v>29</v>
      </c>
      <c r="M133" s="7">
        <v>1.5337289E7</v>
      </c>
      <c r="N133" s="7">
        <v>6.694</v>
      </c>
      <c r="O133" s="7">
        <f>IFERROR(__xludf.DUMMYFUNCTION("IF(L133=""PASS"", RANK.EQ(M133, FILTER($M$2:$M$142, $L$2:$L$142=""PASS""), 1) + COUNTIFS($M$2:$M$142, M133, $N$2:$N$142, ""&lt;""&amp;N133, $L$2:$L$142, ""PASS""), """")"),52.0)</f>
        <v>52</v>
      </c>
      <c r="P133" s="8">
        <f t="shared" si="3"/>
        <v>17.90983607</v>
      </c>
      <c r="Q133" s="6" t="s">
        <v>29</v>
      </c>
      <c r="R133" s="7">
        <v>1.542297E7</v>
      </c>
      <c r="S133" s="7">
        <v>6.9005</v>
      </c>
      <c r="T133" s="7">
        <f>IFERROR(__xludf.DUMMYFUNCTION("IF(Q133=""PASS"", RANK.EQ(R133, FILTER($R$2:$R$142, $Q$2:$Q$142=""PASS""), 1) + COUNTIFS($R$2:$R$142, R133, $S$2:$S$142, ""&lt;""&amp;S133, $Q$2:$Q$142, ""PASS""), """")"),52.0)</f>
        <v>52</v>
      </c>
      <c r="U133" s="8">
        <f t="shared" si="4"/>
        <v>17.875</v>
      </c>
      <c r="V133" s="6" t="s">
        <v>29</v>
      </c>
      <c r="W133" s="7">
        <v>1.28625339E8</v>
      </c>
      <c r="X133" s="7">
        <v>23.6598</v>
      </c>
      <c r="Y133" s="7">
        <f>IFERROR(__xludf.DUMMYFUNCTION("IF(V133=""PASS"", RANK.EQ(W133, FILTER($W$2:$W$142, $V$2:$V$142=""PASS""), 1) + COUNTIFS($W$2:$W$142, W133, $X$2:$X$142, ""&lt;""&amp;X133, $V$2:$V$142, ""PASS""), """")"),18.0)</f>
        <v>18</v>
      </c>
      <c r="Z133" s="8">
        <f t="shared" si="5"/>
        <v>18.97590361</v>
      </c>
      <c r="AA133" s="10">
        <f t="shared" si="6"/>
        <v>89.93606671</v>
      </c>
      <c r="AB133" s="11" t="b">
        <v>0</v>
      </c>
      <c r="AC133" s="8">
        <f t="shared" si="8"/>
        <v>89.93606671</v>
      </c>
      <c r="AD133" s="7"/>
    </row>
    <row r="134">
      <c r="A134" s="5">
        <v>4.1351003E8</v>
      </c>
      <c r="B134" s="12" t="s">
        <v>31</v>
      </c>
      <c r="C134" s="13">
        <v>1152104.0</v>
      </c>
      <c r="D134" s="13">
        <v>4.7854</v>
      </c>
      <c r="E134" s="13" t="str">
        <f>IFERROR(__xludf.DUMMYFUNCTION("IF(B134=""PASS"", RANK.EQ(C134, FILTER($C$2:$C$142, $B$2:$B$142=""PASS""), 1) + COUNTIFS($C$2:$C$142, C134, $D$2:$D$142, ""&lt;""&amp;D134, $B$2:$B$142, ""PASS""), """")"),"")</f>
        <v/>
      </c>
      <c r="F134" s="14">
        <f t="shared" si="1"/>
        <v>15</v>
      </c>
      <c r="G134" s="12" t="s">
        <v>31</v>
      </c>
      <c r="H134" s="13">
        <v>5924282.0</v>
      </c>
      <c r="I134" s="13">
        <v>25.3333</v>
      </c>
      <c r="J134" s="13" t="str">
        <f>IFERROR(__xludf.DUMMYFUNCTION("IF(G134=""PASS"", RANK.EQ(H134, FILTER($H$2:$H$142, $G$2:$G$142=""PASS""), 1) + COUNTIFS($H$2:$H$142, H134, $I$2:$I$142, ""&lt;""&amp;I134, $G$2:$G$142, ""PASS""), """")"),"")</f>
        <v/>
      </c>
      <c r="K134" s="14">
        <f t="shared" si="2"/>
        <v>15</v>
      </c>
      <c r="L134" s="12" t="s">
        <v>31</v>
      </c>
      <c r="M134" s="13">
        <v>2.5362451E7</v>
      </c>
      <c r="N134" s="13">
        <v>108.1343</v>
      </c>
      <c r="O134" s="13" t="str">
        <f>IFERROR(__xludf.DUMMYFUNCTION("IF(L134=""PASS"", RANK.EQ(M134, FILTER($M$2:$M$142, $L$2:$L$142=""PASS""), 1) + COUNTIFS($M$2:$M$142, M134, $N$2:$N$142, ""&lt;""&amp;N134, $L$2:$L$142, ""PASS""), """")"),"")</f>
        <v/>
      </c>
      <c r="P134" s="14">
        <f t="shared" si="3"/>
        <v>15</v>
      </c>
      <c r="Q134" s="12" t="s">
        <v>31</v>
      </c>
      <c r="R134" s="13">
        <v>2.6106256E7</v>
      </c>
      <c r="S134" s="13">
        <v>113.3723</v>
      </c>
      <c r="T134" s="13" t="str">
        <f>IFERROR(__xludf.DUMMYFUNCTION("IF(Q134=""PASS"", RANK.EQ(R134, FILTER($R$2:$R$142, $Q$2:$Q$142=""PASS""), 1) + COUNTIFS($R$2:$R$142, R134, $S$2:$S$142, ""&lt;""&amp;S134, $Q$2:$Q$142, ""PASS""), """")"),"")</f>
        <v/>
      </c>
      <c r="U134" s="14">
        <f t="shared" si="4"/>
        <v>15</v>
      </c>
      <c r="V134" s="12" t="s">
        <v>31</v>
      </c>
      <c r="W134" s="13">
        <v>1.33043339E8</v>
      </c>
      <c r="X134" s="13">
        <v>142.3643</v>
      </c>
      <c r="Y134" s="13" t="str">
        <f>IFERROR(__xludf.DUMMYFUNCTION("IF(V134=""PASS"", RANK.EQ(W134, FILTER($W$2:$W$142, $V$2:$V$142=""PASS""), 1) + COUNTIFS($W$2:$W$142, W134, $X$2:$X$142, ""&lt;""&amp;X134, $V$2:$V$142, ""PASS""), """")"),"")</f>
        <v/>
      </c>
      <c r="Z134" s="14">
        <f t="shared" si="5"/>
        <v>15</v>
      </c>
      <c r="AA134" s="10">
        <f t="shared" si="6"/>
        <v>75</v>
      </c>
      <c r="AB134" s="11" t="b">
        <v>0</v>
      </c>
      <c r="AC134" s="8">
        <f t="shared" si="8"/>
        <v>75</v>
      </c>
      <c r="AD134" s="7"/>
    </row>
    <row r="135">
      <c r="A135" s="5">
        <v>4.14504002E8</v>
      </c>
      <c r="B135" s="6" t="s">
        <v>29</v>
      </c>
      <c r="C135" s="7">
        <v>990034.0</v>
      </c>
      <c r="D135" s="7">
        <v>0.551</v>
      </c>
      <c r="E135" s="7">
        <f>IFERROR(__xludf.DUMMYFUNCTION("IF(B135=""PASS"", RANK.EQ(C135, FILTER($C$2:$C$142, $B$2:$B$142=""PASS""), 1) + COUNTIFS($C$2:$C$142, C135, $D$2:$D$142, ""&lt;""&amp;D135, $B$2:$B$142, ""PASS""), """")"),86.0)</f>
        <v>86</v>
      </c>
      <c r="F135" s="8">
        <f t="shared" si="1"/>
        <v>16.70542636</v>
      </c>
      <c r="G135" s="6" t="s">
        <v>29</v>
      </c>
      <c r="H135" s="7">
        <v>4992354.0</v>
      </c>
      <c r="I135" s="7">
        <v>3.0762</v>
      </c>
      <c r="J135" s="7">
        <f>IFERROR(__xludf.DUMMYFUNCTION("IF(G135=""PASS"", RANK.EQ(H135, FILTER($H$2:$H$142, $G$2:$G$142=""PASS""), 1) + COUNTIFS($H$2:$H$142, H135, $I$2:$I$142, ""&lt;""&amp;I135, $G$2:$G$142, ""PASS""), """")"),82.0)</f>
        <v>82</v>
      </c>
      <c r="K135" s="8">
        <f t="shared" si="2"/>
        <v>16.8359375</v>
      </c>
      <c r="L135" s="6" t="s">
        <v>29</v>
      </c>
      <c r="M135" s="7">
        <v>2.1451521E7</v>
      </c>
      <c r="N135" s="7">
        <v>13.3714</v>
      </c>
      <c r="O135" s="7">
        <f>IFERROR(__xludf.DUMMYFUNCTION("IF(L135=""PASS"", RANK.EQ(M135, FILTER($M$2:$M$142, $L$2:$L$142=""PASS""), 1) + COUNTIFS($M$2:$M$142, M135, $N$2:$N$142, ""&lt;""&amp;N135, $L$2:$L$142, ""PASS""), """")"),75.0)</f>
        <v>75</v>
      </c>
      <c r="P135" s="8">
        <f t="shared" si="3"/>
        <v>16.96721311</v>
      </c>
      <c r="Q135" s="6" t="s">
        <v>29</v>
      </c>
      <c r="R135" s="7">
        <v>2.2009814E7</v>
      </c>
      <c r="S135" s="7">
        <v>13.6568</v>
      </c>
      <c r="T135" s="7">
        <f>IFERROR(__xludf.DUMMYFUNCTION("IF(Q135=""PASS"", RANK.EQ(R135, FILTER($R$2:$R$142, $Q$2:$Q$142=""PASS""), 1) + COUNTIFS($R$2:$R$142, R135, $S$2:$S$142, ""&lt;""&amp;S135, $Q$2:$Q$142, ""PASS""), """")"),75.0)</f>
        <v>75</v>
      </c>
      <c r="U135" s="8">
        <f t="shared" si="4"/>
        <v>16.91666667</v>
      </c>
      <c r="V135" s="6" t="s">
        <v>29</v>
      </c>
      <c r="W135" s="7">
        <v>1.28625339E8</v>
      </c>
      <c r="X135" s="7">
        <v>57.7181</v>
      </c>
      <c r="Y135" s="7">
        <f>IFERROR(__xludf.DUMMYFUNCTION("IF(V135=""PASS"", RANK.EQ(W135, FILTER($W$2:$W$142, $V$2:$V$142=""PASS""), 1) + COUNTIFS($W$2:$W$142, W135, $X$2:$X$142, ""&lt;""&amp;X135, $V$2:$V$142, ""PASS""), """")"),34.0)</f>
        <v>34</v>
      </c>
      <c r="Z135" s="8">
        <f t="shared" si="5"/>
        <v>18.01204819</v>
      </c>
      <c r="AA135" s="10">
        <f t="shared" si="6"/>
        <v>85.43729183</v>
      </c>
      <c r="AB135" s="11" t="b">
        <v>1</v>
      </c>
      <c r="AC135" s="8">
        <f t="shared" si="8"/>
        <v>80.43729183</v>
      </c>
      <c r="AD135" s="7"/>
    </row>
    <row r="136">
      <c r="A136" s="5">
        <v>4.14504003E8</v>
      </c>
      <c r="B136" s="6" t="s">
        <v>29</v>
      </c>
      <c r="C136" s="7">
        <v>689071.0</v>
      </c>
      <c r="D136" s="7">
        <v>10.0357</v>
      </c>
      <c r="E136" s="7">
        <f>IFERROR(__xludf.DUMMYFUNCTION("IF(B136=""PASS"", RANK.EQ(C136, FILTER($C$2:$C$142, $B$2:$B$142=""PASS""), 1) + COUNTIFS($C$2:$C$142, C136, $D$2:$D$142, ""&lt;""&amp;D136, $B$2:$B$142, ""PASS""), """")"),31.0)</f>
        <v>31</v>
      </c>
      <c r="F136" s="8">
        <f t="shared" si="1"/>
        <v>18.8372093</v>
      </c>
      <c r="G136" s="6" t="s">
        <v>29</v>
      </c>
      <c r="H136" s="7">
        <v>2964226.0</v>
      </c>
      <c r="I136" s="7">
        <v>120.0948</v>
      </c>
      <c r="J136" s="7">
        <f>IFERROR(__xludf.DUMMYFUNCTION("IF(G136=""PASS"", RANK.EQ(H136, FILTER($H$2:$H$142, $G$2:$G$142=""PASS""), 1) + COUNTIFS($H$2:$H$142, H136, $I$2:$I$142, ""&lt;""&amp;I136, $G$2:$G$142, ""PASS""), """")"),26.0)</f>
        <v>26</v>
      </c>
      <c r="K136" s="8">
        <f t="shared" si="2"/>
        <v>19.0234375</v>
      </c>
      <c r="L136" s="12" t="s">
        <v>31</v>
      </c>
      <c r="M136" s="13">
        <v>1.5267451E7</v>
      </c>
      <c r="N136" s="13">
        <v>1.2589</v>
      </c>
      <c r="O136" s="13" t="str">
        <f>IFERROR(__xludf.DUMMYFUNCTION("IF(L136=""PASS"", RANK.EQ(M136, FILTER($M$2:$M$142, $L$2:$L$142=""PASS""), 1) + COUNTIFS($M$2:$M$142, M136, $N$2:$N$142, ""&lt;""&amp;N136, $L$2:$L$142, ""PASS""), """")"),"")</f>
        <v/>
      </c>
      <c r="P136" s="14">
        <f t="shared" si="3"/>
        <v>15</v>
      </c>
      <c r="Q136" s="12" t="s">
        <v>31</v>
      </c>
      <c r="R136" s="13">
        <v>1.5344538E7</v>
      </c>
      <c r="S136" s="13">
        <v>1.2888</v>
      </c>
      <c r="T136" s="13" t="str">
        <f>IFERROR(__xludf.DUMMYFUNCTION("IF(Q136=""PASS"", RANK.EQ(R136, FILTER($R$2:$R$142, $Q$2:$Q$142=""PASS""), 1) + COUNTIFS($R$2:$R$142, R136, $S$2:$S$142, ""&lt;""&amp;S136, $Q$2:$Q$142, ""PASS""), """")"),"")</f>
        <v/>
      </c>
      <c r="U136" s="14">
        <f t="shared" si="4"/>
        <v>15</v>
      </c>
      <c r="V136" s="12" t="s">
        <v>31</v>
      </c>
      <c r="W136" s="13">
        <v>1.28625339E8</v>
      </c>
      <c r="X136" s="13">
        <v>9.6142</v>
      </c>
      <c r="Y136" s="13" t="str">
        <f>IFERROR(__xludf.DUMMYFUNCTION("IF(V136=""PASS"", RANK.EQ(W136, FILTER($W$2:$W$142, $V$2:$V$142=""PASS""), 1) + COUNTIFS($W$2:$W$142, W136, $X$2:$X$142, ""&lt;""&amp;X136, $V$2:$V$142, ""PASS""), """")"),"")</f>
        <v/>
      </c>
      <c r="Z136" s="14">
        <f t="shared" si="5"/>
        <v>15</v>
      </c>
      <c r="AA136" s="10">
        <f t="shared" si="6"/>
        <v>82.8606468</v>
      </c>
      <c r="AB136" s="11" t="b">
        <v>0</v>
      </c>
      <c r="AC136" s="8">
        <f t="shared" si="8"/>
        <v>82.8606468</v>
      </c>
      <c r="AD136" s="7"/>
    </row>
    <row r="137">
      <c r="A137" s="5">
        <v>4.14510024E8</v>
      </c>
      <c r="B137" s="6" t="s">
        <v>29</v>
      </c>
      <c r="C137" s="7">
        <v>691579.0</v>
      </c>
      <c r="D137" s="7">
        <v>0.2131</v>
      </c>
      <c r="E137" s="7">
        <f>IFERROR(__xludf.DUMMYFUNCTION("IF(B137=""PASS"", RANK.EQ(C137, FILTER($C$2:$C$142, $B$2:$B$142=""PASS""), 1) + COUNTIFS($C$2:$C$142, C137, $D$2:$D$142, ""&lt;""&amp;D137, $B$2:$B$142, ""PASS""), """")"),42.0)</f>
        <v>42</v>
      </c>
      <c r="F137" s="8">
        <f t="shared" si="1"/>
        <v>18.41085271</v>
      </c>
      <c r="G137" s="6" t="s">
        <v>29</v>
      </c>
      <c r="H137" s="7">
        <v>3022008.0</v>
      </c>
      <c r="I137" s="7">
        <v>1.2374</v>
      </c>
      <c r="J137" s="7">
        <f>IFERROR(__xludf.DUMMYFUNCTION("IF(G137=""PASS"", RANK.EQ(H137, FILTER($H$2:$H$142, $G$2:$G$142=""PASS""), 1) + COUNTIFS($H$2:$H$142, H137, $I$2:$I$142, ""&lt;""&amp;I137, $G$2:$G$142, ""PASS""), """")"),41.0)</f>
        <v>41</v>
      </c>
      <c r="K137" s="8">
        <f t="shared" si="2"/>
        <v>18.4375</v>
      </c>
      <c r="L137" s="6" t="s">
        <v>29</v>
      </c>
      <c r="M137" s="7">
        <v>1.2984196E7</v>
      </c>
      <c r="N137" s="7">
        <v>7.6346</v>
      </c>
      <c r="O137" s="7">
        <f>IFERROR(__xludf.DUMMYFUNCTION("IF(L137=""PASS"", RANK.EQ(M137, FILTER($M$2:$M$142, $L$2:$L$142=""PASS""), 1) + COUNTIFS($M$2:$M$142, M137, $N$2:$N$142, ""&lt;""&amp;N137, $L$2:$L$142, ""PASS""), """")"),33.0)</f>
        <v>33</v>
      </c>
      <c r="P137" s="8">
        <f t="shared" si="3"/>
        <v>18.68852459</v>
      </c>
      <c r="Q137" s="6" t="s">
        <v>29</v>
      </c>
      <c r="R137" s="7">
        <v>1.2979299E7</v>
      </c>
      <c r="S137" s="7">
        <v>7.6805</v>
      </c>
      <c r="T137" s="7">
        <f>IFERROR(__xludf.DUMMYFUNCTION("IF(Q137=""PASS"", RANK.EQ(R137, FILTER($R$2:$R$142, $Q$2:$Q$142=""PASS""), 1) + COUNTIFS($R$2:$R$142, R137, $S$2:$S$142, ""&lt;""&amp;S137, $Q$2:$Q$142, ""PASS""), """")"),28.0)</f>
        <v>28</v>
      </c>
      <c r="U137" s="8">
        <f t="shared" si="4"/>
        <v>18.875</v>
      </c>
      <c r="V137" s="6" t="s">
        <v>29</v>
      </c>
      <c r="W137" s="7">
        <v>1.28625339E8</v>
      </c>
      <c r="X137" s="7">
        <v>62.2038</v>
      </c>
      <c r="Y137" s="7">
        <f>IFERROR(__xludf.DUMMYFUNCTION("IF(V137=""PASS"", RANK.EQ(W137, FILTER($W$2:$W$142, $V$2:$V$142=""PASS""), 1) + COUNTIFS($W$2:$W$142, W137, $X$2:$X$142, ""&lt;""&amp;X137, $V$2:$V$142, ""PASS""), """")"),37.0)</f>
        <v>37</v>
      </c>
      <c r="Z137" s="8">
        <f t="shared" si="5"/>
        <v>17.8313253</v>
      </c>
      <c r="AA137" s="10">
        <f t="shared" si="6"/>
        <v>92.2432026</v>
      </c>
      <c r="AB137" s="11" t="b">
        <v>0</v>
      </c>
      <c r="AC137" s="8">
        <f t="shared" si="8"/>
        <v>92.2432026</v>
      </c>
      <c r="AD137" s="7"/>
    </row>
    <row r="138">
      <c r="A138" s="5">
        <v>4.14510025E8</v>
      </c>
      <c r="B138" s="6" t="s">
        <v>29</v>
      </c>
      <c r="C138" s="7">
        <v>1152104.0</v>
      </c>
      <c r="D138" s="7">
        <v>0.08</v>
      </c>
      <c r="E138" s="7">
        <f>IFERROR(__xludf.DUMMYFUNCTION("IF(B138=""PASS"", RANK.EQ(C138, FILTER($C$2:$C$142, $B$2:$B$142=""PASS""), 1) + COUNTIFS($C$2:$C$142, C138, $D$2:$D$142, ""&lt;""&amp;D138, $B$2:$B$142, ""PASS""), """")"),107.0)</f>
        <v>107</v>
      </c>
      <c r="F138" s="8">
        <f t="shared" si="1"/>
        <v>15.89147287</v>
      </c>
      <c r="G138" s="6" t="s">
        <v>29</v>
      </c>
      <c r="H138" s="7">
        <v>5924282.0</v>
      </c>
      <c r="I138" s="7">
        <v>0.3185</v>
      </c>
      <c r="J138" s="7">
        <f>IFERROR(__xludf.DUMMYFUNCTION("IF(G138=""PASS"", RANK.EQ(H138, FILTER($H$2:$H$142, $G$2:$G$142=""PASS""), 1) + COUNTIFS($H$2:$H$142, H138, $I$2:$I$142, ""&lt;""&amp;I138, $G$2:$G$142, ""PASS""), """")"),97.0)</f>
        <v>97</v>
      </c>
      <c r="K138" s="8">
        <f t="shared" si="2"/>
        <v>16.25</v>
      </c>
      <c r="L138" s="6" t="s">
        <v>29</v>
      </c>
      <c r="M138" s="7">
        <v>2.5362451E7</v>
      </c>
      <c r="N138" s="7">
        <v>1.3123</v>
      </c>
      <c r="O138" s="7">
        <f>IFERROR(__xludf.DUMMYFUNCTION("IF(L138=""PASS"", RANK.EQ(M138, FILTER($M$2:$M$142, $L$2:$L$142=""PASS""), 1) + COUNTIFS($M$2:$M$142, M138, $N$2:$N$142, ""&lt;""&amp;N138, $L$2:$L$142, ""PASS""), """")"),87.0)</f>
        <v>87</v>
      </c>
      <c r="P138" s="8">
        <f t="shared" si="3"/>
        <v>16.47540984</v>
      </c>
      <c r="Q138" s="6" t="s">
        <v>29</v>
      </c>
      <c r="R138" s="7">
        <v>2.6106256E7</v>
      </c>
      <c r="S138" s="7">
        <v>1.4172</v>
      </c>
      <c r="T138" s="7">
        <f>IFERROR(__xludf.DUMMYFUNCTION("IF(Q138=""PASS"", RANK.EQ(R138, FILTER($R$2:$R$142, $Q$2:$Q$142=""PASS""), 1) + COUNTIFS($R$2:$R$142, R138, $S$2:$S$142, ""&lt;""&amp;S138, $Q$2:$Q$142, ""PASS""), """")"),87.0)</f>
        <v>87</v>
      </c>
      <c r="U138" s="8">
        <f t="shared" si="4"/>
        <v>16.41666667</v>
      </c>
      <c r="V138" s="6" t="s">
        <v>29</v>
      </c>
      <c r="W138" s="7">
        <v>1.28625339E8</v>
      </c>
      <c r="X138" s="7">
        <v>6.0073</v>
      </c>
      <c r="Y138" s="7">
        <f>IFERROR(__xludf.DUMMYFUNCTION("IF(V138=""PASS"", RANK.EQ(W138, FILTER($W$2:$W$142, $V$2:$V$142=""PASS""), 1) + COUNTIFS($W$2:$W$142, W138, $X$2:$X$142, ""&lt;""&amp;X138, $V$2:$V$142, ""PASS""), """")"),2.0)</f>
        <v>2</v>
      </c>
      <c r="Z138" s="8">
        <f t="shared" si="5"/>
        <v>19.93975904</v>
      </c>
      <c r="AA138" s="10">
        <f t="shared" si="6"/>
        <v>84.97330841</v>
      </c>
      <c r="AB138" s="11" t="b">
        <v>0</v>
      </c>
      <c r="AC138" s="8">
        <f t="shared" si="8"/>
        <v>84.97330841</v>
      </c>
      <c r="AD138" s="7"/>
    </row>
    <row r="139">
      <c r="A139" s="5">
        <v>4.14551021E8</v>
      </c>
      <c r="B139" s="6" t="s">
        <v>30</v>
      </c>
      <c r="C139" s="9"/>
      <c r="D139" s="7">
        <v>11.6444</v>
      </c>
      <c r="E139" s="7" t="str">
        <f>IFERROR(__xludf.DUMMYFUNCTION("IF(B139=""PASS"", RANK.EQ(C139, FILTER($C$2:$C$142, $B$2:$B$142=""PASS""), 1) + COUNTIFS($C$2:$C$142, C139, $D$2:$D$142, ""&lt;""&amp;D139, $B$2:$B$142, ""PASS""), """")"),"")</f>
        <v/>
      </c>
      <c r="F139" s="8">
        <f t="shared" si="1"/>
        <v>0</v>
      </c>
      <c r="G139" s="6" t="s">
        <v>30</v>
      </c>
      <c r="H139" s="9"/>
      <c r="I139" s="7">
        <v>180.1045</v>
      </c>
      <c r="J139" s="7" t="str">
        <f>IFERROR(__xludf.DUMMYFUNCTION("IF(G139=""PASS"", RANK.EQ(H139, FILTER($H$2:$H$142, $G$2:$G$142=""PASS""), 1) + COUNTIFS($H$2:$H$142, H139, $I$2:$I$142, ""&lt;""&amp;I139, $G$2:$G$142, ""PASS""), """")"),"")</f>
        <v/>
      </c>
      <c r="K139" s="8">
        <f t="shared" si="2"/>
        <v>0</v>
      </c>
      <c r="L139" s="6" t="s">
        <v>30</v>
      </c>
      <c r="M139" s="9"/>
      <c r="N139" s="7">
        <v>180.1052</v>
      </c>
      <c r="O139" s="7" t="str">
        <f>IFERROR(__xludf.DUMMYFUNCTION("IF(L139=""PASS"", RANK.EQ(M139, FILTER($M$2:$M$142, $L$2:$L$142=""PASS""), 1) + COUNTIFS($M$2:$M$142, M139, $N$2:$N$142, ""&lt;""&amp;N139, $L$2:$L$142, ""PASS""), """")"),"")</f>
        <v/>
      </c>
      <c r="P139" s="8">
        <f t="shared" si="3"/>
        <v>0</v>
      </c>
      <c r="Q139" s="6" t="s">
        <v>30</v>
      </c>
      <c r="R139" s="9"/>
      <c r="S139" s="7">
        <v>180.1051</v>
      </c>
      <c r="T139" s="7" t="str">
        <f>IFERROR(__xludf.DUMMYFUNCTION("IF(Q139=""PASS"", RANK.EQ(R139, FILTER($R$2:$R$142, $Q$2:$Q$142=""PASS""), 1) + COUNTIFS($R$2:$R$142, R139, $S$2:$S$142, ""&lt;""&amp;S139, $Q$2:$Q$142, ""PASS""), """")"),"")</f>
        <v/>
      </c>
      <c r="U139" s="8">
        <f t="shared" si="4"/>
        <v>0</v>
      </c>
      <c r="V139" s="6" t="s">
        <v>30</v>
      </c>
      <c r="W139" s="9"/>
      <c r="X139" s="7">
        <v>180.0337</v>
      </c>
      <c r="Y139" s="7" t="str">
        <f>IFERROR(__xludf.DUMMYFUNCTION("IF(V139=""PASS"", RANK.EQ(W139, FILTER($W$2:$W$142, $V$2:$V$142=""PASS""), 1) + COUNTIFS($W$2:$W$142, W139, $X$2:$X$142, ""&lt;""&amp;X139, $V$2:$V$142, ""PASS""), """")"),"")</f>
        <v/>
      </c>
      <c r="Z139" s="8">
        <f t="shared" si="5"/>
        <v>0</v>
      </c>
      <c r="AA139" s="10">
        <f t="shared" si="6"/>
        <v>0</v>
      </c>
      <c r="AB139" s="11" t="b">
        <v>1</v>
      </c>
      <c r="AC139" s="8">
        <f t="shared" si="8"/>
        <v>0</v>
      </c>
      <c r="AD139" s="7"/>
    </row>
    <row r="140">
      <c r="A140" s="5">
        <v>5.13506035E8</v>
      </c>
      <c r="B140" s="6" t="s">
        <v>29</v>
      </c>
      <c r="C140" s="7">
        <v>937421.0</v>
      </c>
      <c r="D140" s="7">
        <v>0.9374</v>
      </c>
      <c r="E140" s="7">
        <f>IFERROR(__xludf.DUMMYFUNCTION("IF(B140=""PASS"", RANK.EQ(C140, FILTER($C$2:$C$142, $B$2:$B$142=""PASS""), 1) + COUNTIFS($C$2:$C$142, C140, $D$2:$D$142, ""&lt;""&amp;D140, $B$2:$B$142, ""PASS""), """")"),80.0)</f>
        <v>80</v>
      </c>
      <c r="F140" s="8">
        <f t="shared" si="1"/>
        <v>16.9379845</v>
      </c>
      <c r="G140" s="6" t="s">
        <v>29</v>
      </c>
      <c r="H140" s="7">
        <v>4609017.0</v>
      </c>
      <c r="I140" s="7">
        <v>6.2659</v>
      </c>
      <c r="J140" s="7">
        <f>IFERROR(__xludf.DUMMYFUNCTION("IF(G140=""PASS"", RANK.EQ(H140, FILTER($H$2:$H$142, $G$2:$G$142=""PASS""), 1) + COUNTIFS($H$2:$H$142, H140, $I$2:$I$142, ""&lt;""&amp;I140, $G$2:$G$142, ""PASS""), """")"),78.0)</f>
        <v>78</v>
      </c>
      <c r="K140" s="8">
        <f t="shared" si="2"/>
        <v>16.9921875</v>
      </c>
      <c r="L140" s="6" t="s">
        <v>29</v>
      </c>
      <c r="M140" s="7">
        <v>1.9873701E7</v>
      </c>
      <c r="N140" s="7">
        <v>27.4494</v>
      </c>
      <c r="O140" s="7">
        <f>IFERROR(__xludf.DUMMYFUNCTION("IF(L140=""PASS"", RANK.EQ(M140, FILTER($M$2:$M$142, $L$2:$L$142=""PASS""), 1) + COUNTIFS($M$2:$M$142, M140, $N$2:$N$142, ""&lt;""&amp;N140, $L$2:$L$142, ""PASS""), """")"),70.0)</f>
        <v>70</v>
      </c>
      <c r="P140" s="8">
        <f t="shared" si="3"/>
        <v>17.17213115</v>
      </c>
      <c r="Q140" s="6" t="s">
        <v>29</v>
      </c>
      <c r="R140" s="7">
        <v>2.0302322E7</v>
      </c>
      <c r="S140" s="7">
        <v>29.384</v>
      </c>
      <c r="T140" s="7">
        <f>IFERROR(__xludf.DUMMYFUNCTION("IF(Q140=""PASS"", RANK.EQ(R140, FILTER($R$2:$R$142, $Q$2:$Q$142=""PASS""), 1) + COUNTIFS($R$2:$R$142, R140, $S$2:$S$142, ""&lt;""&amp;S140, $Q$2:$Q$142, ""PASS""), """")"),70.0)</f>
        <v>70</v>
      </c>
      <c r="U140" s="8">
        <f t="shared" si="4"/>
        <v>17.125</v>
      </c>
      <c r="V140" s="6" t="s">
        <v>29</v>
      </c>
      <c r="W140" s="7">
        <v>1.28625339E8</v>
      </c>
      <c r="X140" s="7">
        <v>144.9693</v>
      </c>
      <c r="Y140" s="7">
        <f>IFERROR(__xludf.DUMMYFUNCTION("IF(V140=""PASS"", RANK.EQ(W140, FILTER($W$2:$W$142, $V$2:$V$142=""PASS""), 1) + COUNTIFS($W$2:$W$142, W140, $X$2:$X$142, ""&lt;""&amp;X140, $V$2:$V$142, ""PASS""), """")"),51.0)</f>
        <v>51</v>
      </c>
      <c r="Z140" s="8">
        <f t="shared" si="5"/>
        <v>16.98795181</v>
      </c>
      <c r="AA140" s="10">
        <f t="shared" si="6"/>
        <v>85.21525495</v>
      </c>
      <c r="AB140" s="11" t="b">
        <v>0</v>
      </c>
      <c r="AC140" s="8">
        <f t="shared" si="8"/>
        <v>85.21525495</v>
      </c>
      <c r="AD140" s="7"/>
    </row>
    <row r="141">
      <c r="A141" s="5" t="s">
        <v>32</v>
      </c>
      <c r="B141" s="12" t="s">
        <v>31</v>
      </c>
      <c r="C141" s="13">
        <v>1026355.0</v>
      </c>
      <c r="D141" s="13">
        <v>6.1043</v>
      </c>
      <c r="E141" s="13" t="str">
        <f>IFERROR(__xludf.DUMMYFUNCTION("IF(B141=""PASS"", RANK.EQ(C141, FILTER($C$2:$C$142, $B$2:$B$142=""PASS""), 1) + COUNTIFS($C$2:$C$142, C141, $D$2:$D$142, ""&lt;""&amp;D141, $B$2:$B$142, ""PASS""), """")"),"")</f>
        <v/>
      </c>
      <c r="F141" s="14">
        <f t="shared" si="1"/>
        <v>15</v>
      </c>
      <c r="G141" s="12" t="s">
        <v>31</v>
      </c>
      <c r="H141" s="13">
        <v>5236672.0</v>
      </c>
      <c r="I141" s="13">
        <v>6.4717</v>
      </c>
      <c r="J141" s="13" t="str">
        <f>IFERROR(__xludf.DUMMYFUNCTION("IF(G141=""PASS"", RANK.EQ(H141, FILTER($H$2:$H$142, $G$2:$G$142=""PASS""), 1) + COUNTIFS($H$2:$H$142, H141, $I$2:$I$142, ""&lt;""&amp;I141, $G$2:$G$142, ""PASS""), """")"),"")</f>
        <v/>
      </c>
      <c r="K141" s="14">
        <f t="shared" si="2"/>
        <v>15</v>
      </c>
      <c r="L141" s="12" t="s">
        <v>31</v>
      </c>
      <c r="M141" s="13">
        <v>2.2398553E7</v>
      </c>
      <c r="N141" s="13">
        <v>7.6743</v>
      </c>
      <c r="O141" s="13" t="str">
        <f>IFERROR(__xludf.DUMMYFUNCTION("IF(L141=""PASS"", RANK.EQ(M141, FILTER($M$2:$M$142, $L$2:$L$142=""PASS""), 1) + COUNTIFS($M$2:$M$142, M141, $N$2:$N$142, ""&lt;""&amp;N141, $L$2:$L$142, ""PASS""), """")"),"")</f>
        <v/>
      </c>
      <c r="P141" s="14">
        <f t="shared" si="3"/>
        <v>15</v>
      </c>
      <c r="Q141" s="12" t="s">
        <v>31</v>
      </c>
      <c r="R141" s="13">
        <v>2.3044834E7</v>
      </c>
      <c r="S141" s="13">
        <v>7.7361</v>
      </c>
      <c r="T141" s="13" t="str">
        <f>IFERROR(__xludf.DUMMYFUNCTION("IF(Q141=""PASS"", RANK.EQ(R141, FILTER($R$2:$R$142, $Q$2:$Q$142=""PASS""), 1) + COUNTIFS($R$2:$R$142, R141, $S$2:$S$142, ""&lt;""&amp;S141, $Q$2:$Q$142, ""PASS""), """")"),"")</f>
        <v/>
      </c>
      <c r="U141" s="14">
        <f t="shared" si="4"/>
        <v>15</v>
      </c>
      <c r="V141" s="12" t="s">
        <v>31</v>
      </c>
      <c r="W141" s="13">
        <v>1.28625339E8</v>
      </c>
      <c r="X141" s="13">
        <v>11.447</v>
      </c>
      <c r="Y141" s="13" t="str">
        <f>IFERROR(__xludf.DUMMYFUNCTION("IF(V141=""PASS"", RANK.EQ(W141, FILTER($W$2:$W$142, $V$2:$V$142=""PASS""), 1) + COUNTIFS($W$2:$W$142, W141, $X$2:$X$142, ""&lt;""&amp;X141, $V$2:$V$142, ""PASS""), """")"),"")</f>
        <v/>
      </c>
      <c r="Z141" s="14">
        <f t="shared" si="5"/>
        <v>15</v>
      </c>
      <c r="AA141" s="10">
        <f t="shared" si="6"/>
        <v>75</v>
      </c>
      <c r="AB141" s="11" t="b">
        <v>0</v>
      </c>
      <c r="AC141" s="8">
        <f t="shared" si="8"/>
        <v>75</v>
      </c>
      <c r="AD141" s="7"/>
    </row>
    <row r="142">
      <c r="A142" s="18" t="s">
        <v>33</v>
      </c>
      <c r="B142" s="19" t="s">
        <v>29</v>
      </c>
      <c r="C142" s="20">
        <v>832145.0</v>
      </c>
      <c r="D142" s="20">
        <v>0.5005</v>
      </c>
      <c r="E142" s="20">
        <f>IFERROR(__xludf.DUMMYFUNCTION("IF(B142=""PASS"", RANK.EQ(C142, FILTER($C$2:$C$142, $B$2:$B$142=""PASS""), 1) + COUNTIFS($C$2:$C$142, C142, $D$2:$D$142, ""&lt;""&amp;D142, $B$2:$B$142, ""PASS""), """")"),70.0)</f>
        <v>70</v>
      </c>
      <c r="F142" s="21">
        <f t="shared" si="1"/>
        <v>17.3255814</v>
      </c>
      <c r="G142" s="19" t="s">
        <v>29</v>
      </c>
      <c r="H142" s="20">
        <v>4165019.0</v>
      </c>
      <c r="I142" s="20">
        <v>2.082</v>
      </c>
      <c r="J142" s="20">
        <f>IFERROR(__xludf.DUMMYFUNCTION("IF(G142=""PASS"", RANK.EQ(H142, FILTER($H$2:$H$142, $G$2:$G$142=""PASS""), 1) + COUNTIFS($H$2:$H$142, H142, $I$2:$I$142, ""&lt;""&amp;I142, $G$2:$G$142, ""PASS""), """")"),68.0)</f>
        <v>68</v>
      </c>
      <c r="K142" s="21">
        <f t="shared" si="2"/>
        <v>17.3828125</v>
      </c>
      <c r="L142" s="19" t="s">
        <v>29</v>
      </c>
      <c r="M142" s="20">
        <v>1.7918353E7</v>
      </c>
      <c r="N142" s="20">
        <v>9.1572</v>
      </c>
      <c r="O142" s="20">
        <f>IFERROR(__xludf.DUMMYFUNCTION("IF(L142=""PASS"", RANK.EQ(M142, FILTER($M$2:$M$142, $L$2:$L$142=""PASS""), 1) + COUNTIFS($M$2:$M$142, M142, $N$2:$N$142, ""&lt;""&amp;N142, $L$2:$L$142, ""PASS""), """")"),59.0)</f>
        <v>59</v>
      </c>
      <c r="P142" s="21">
        <f t="shared" si="3"/>
        <v>17.62295082</v>
      </c>
      <c r="Q142" s="19" t="s">
        <v>29</v>
      </c>
      <c r="R142" s="20">
        <v>1.8395155E7</v>
      </c>
      <c r="S142" s="20">
        <v>8.8519</v>
      </c>
      <c r="T142" s="20">
        <f>IFERROR(__xludf.DUMMYFUNCTION("IF(Q142=""PASS"", RANK.EQ(R142, FILTER($R$2:$R$142, $Q$2:$Q$142=""PASS""), 1) + COUNTIFS($R$2:$R$142, R142, $S$2:$S$142, ""&lt;""&amp;S142, $Q$2:$Q$142, ""PASS""), """")"),59.0)</f>
        <v>59</v>
      </c>
      <c r="U142" s="21">
        <f t="shared" si="4"/>
        <v>17.58333333</v>
      </c>
      <c r="V142" s="22" t="s">
        <v>31</v>
      </c>
      <c r="W142" s="23">
        <v>1.28625339E8</v>
      </c>
      <c r="X142" s="23">
        <v>14.8387</v>
      </c>
      <c r="Y142" s="23" t="str">
        <f>IFERROR(__xludf.DUMMYFUNCTION("IF(V142=""PASS"", RANK.EQ(W142, FILTER($W$2:$W$142, $V$2:$V$142=""PASS""), 1) + COUNTIFS($W$2:$W$142, W142, $X$2:$X$142, ""&lt;""&amp;X142, $V$2:$V$142, ""PASS""), """")"),"")</f>
        <v/>
      </c>
      <c r="Z142" s="24">
        <f t="shared" si="5"/>
        <v>15</v>
      </c>
      <c r="AA142" s="25">
        <f t="shared" si="6"/>
        <v>84.91467805</v>
      </c>
      <c r="AB142" s="26" t="b">
        <v>0</v>
      </c>
      <c r="AC142" s="8">
        <f t="shared" si="8"/>
        <v>84.91467805</v>
      </c>
      <c r="AD142" s="7"/>
    </row>
    <row r="143">
      <c r="A143" s="27"/>
      <c r="B143" s="28"/>
      <c r="C143" s="28"/>
      <c r="D143" s="28"/>
      <c r="E143" s="28"/>
      <c r="F143" s="27"/>
      <c r="G143" s="28"/>
      <c r="H143" s="28"/>
      <c r="I143" s="28"/>
      <c r="J143" s="28"/>
      <c r="K143" s="27"/>
      <c r="L143" s="28"/>
      <c r="M143" s="28"/>
      <c r="N143" s="28"/>
      <c r="O143" s="28"/>
      <c r="P143" s="27"/>
      <c r="Q143" s="28"/>
      <c r="R143" s="28"/>
      <c r="S143" s="28"/>
      <c r="T143" s="29"/>
      <c r="U143" s="27"/>
      <c r="V143" s="28"/>
      <c r="W143" s="28"/>
      <c r="X143" s="28"/>
      <c r="Y143" s="29"/>
      <c r="Z143" s="27"/>
      <c r="AA143" s="28"/>
      <c r="AB143" s="28"/>
      <c r="AC143" s="30">
        <f>AVERAGE(AC2:AC142)</f>
        <v>82.71276596</v>
      </c>
      <c r="AD143" s="28"/>
    </row>
  </sheetData>
  <drawing r:id="rId1"/>
</worksheet>
</file>